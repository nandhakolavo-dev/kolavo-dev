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ftar Fitur" sheetId="1" r:id="rId5"/>
    <sheet state="visible" name="Kebutuhan Biaya" sheetId="2" r:id="rId6"/>
    <sheet state="hidden" name="Arsip Kebutuhan Biaya " sheetId="3" r:id="rId7"/>
    <sheet state="hidden" name="Template" sheetId="4" r:id="rId8"/>
  </sheets>
  <definedNames>
    <definedName hidden="1" localSheetId="0" name="_xlnm._FilterDatabase">'Daftar Fitur'!$A$4:$L$124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tc={4db2a668-0b19-429e-8e74-7c6347a3cc04}</author>
  </authors>
  <commentList>
    <comment authorId="0" xr:uid="{4db2a668-0b19-429e-8e74-7c6347a3cc04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Nana handle the PRD then need one more QA
</t>
      </text>
    </comment>
  </commentList>
</comments>
</file>

<file path=xl/sharedStrings.xml><?xml version="1.0" encoding="utf-8"?>
<sst xmlns="http://schemas.openxmlformats.org/spreadsheetml/2006/main" count="413" uniqueCount="257">
  <si>
    <t>Double Check</t>
  </si>
  <si>
    <t>Kebutuhan</t>
  </si>
  <si>
    <t>Nama Modul</t>
  </si>
  <si>
    <t>Deskripsi</t>
  </si>
  <si>
    <t>Tahun Riset</t>
  </si>
  <si>
    <t>Keluaran</t>
  </si>
  <si>
    <t>Jumlah</t>
  </si>
  <si>
    <t>Harga (Tax Inc)</t>
  </si>
  <si>
    <t>Biaya Bulanan</t>
  </si>
  <si>
    <t>Biaya Tahunan</t>
  </si>
  <si>
    <t>Biaya Tiga Tahun</t>
  </si>
  <si>
    <t>Keseluruhan</t>
  </si>
  <si>
    <t>Biaya Pembuatan Model</t>
  </si>
  <si>
    <t>Biaya Pembuatan Arsitektur</t>
  </si>
  <si>
    <t>Biaya Pembuatan MVP</t>
  </si>
  <si>
    <t>Fungsi</t>
  </si>
  <si>
    <t>Biaya Penyempurnaan Pertama</t>
  </si>
  <si>
    <t>Biaya Penyempurnaan Kedua</t>
  </si>
  <si>
    <t>Total</t>
  </si>
  <si>
    <t>Total Keseluruhan Per Modul</t>
  </si>
  <si>
    <t>Biaya Langsung Personil</t>
  </si>
  <si>
    <t>Anggota riset</t>
  </si>
  <si>
    <t>Aktivitas</t>
  </si>
  <si>
    <t>Talenta</t>
  </si>
  <si>
    <t>Total Modul</t>
  </si>
  <si>
    <t>Biaya</t>
  </si>
  <si>
    <t>Total Fitur</t>
  </si>
  <si>
    <t>Total Biaya</t>
  </si>
  <si>
    <t>Modul / Fungsi</t>
  </si>
  <si>
    <t>Product Manager</t>
  </si>
  <si>
    <t>Total Pengajuan</t>
  </si>
  <si>
    <t>Membangun rencana riset produk berdasarkan kebutuhan pasar</t>
  </si>
  <si>
    <t>Dokumen: PRD, Analisa feedback</t>
  </si>
  <si>
    <t>Pelaksana</t>
  </si>
  <si>
    <t>Junior UXUI Designer</t>
  </si>
  <si>
    <t>Merancang UX dan UI berdasarkan PRD</t>
  </si>
  <si>
    <t>Pengumpulan Data</t>
  </si>
  <si>
    <t>Prototype: User flow, prototype, user interface</t>
  </si>
  <si>
    <t>Junior Front End Engineer</t>
  </si>
  <si>
    <t>Membangun kode front end dan integrasi API</t>
  </si>
  <si>
    <t>Implementasi: aplikasi</t>
  </si>
  <si>
    <t>Memberikan feedback</t>
  </si>
  <si>
    <t>Senior Backend Engineer</t>
  </si>
  <si>
    <t>Membangun kode back end, database, dan instalasi ke server</t>
  </si>
  <si>
    <t>Junior QA Engineer</t>
  </si>
  <si>
    <t>Mengelola uji produk dari perencanaan, perancangan, eksekusi, hingga rilis</t>
  </si>
  <si>
    <t>Dokumen: test execution report, release report</t>
  </si>
  <si>
    <t>Biaya Langsung Non-Personil</t>
  </si>
  <si>
    <t>Komunitas</t>
  </si>
  <si>
    <t>Sewa Alat</t>
  </si>
  <si>
    <t>Purwarupa</t>
  </si>
  <si>
    <t>Berdasarkan pengguna</t>
  </si>
  <si>
    <t>Membuat PRD &amp; Testing</t>
  </si>
  <si>
    <t>Tech Writer</t>
  </si>
  <si>
    <t>Merancang UIUX</t>
  </si>
  <si>
    <t>UIUX Designer</t>
  </si>
  <si>
    <t>Tools in Dollars</t>
  </si>
  <si>
    <t>Implementasi</t>
  </si>
  <si>
    <t>Junior Programmer Front End</t>
  </si>
  <si>
    <t>Senior Programmer Back End</t>
  </si>
  <si>
    <t>Total Anggaran</t>
  </si>
  <si>
    <t>Persentase Biaya</t>
  </si>
  <si>
    <t>Jira</t>
  </si>
  <si>
    <t>Kelola backlog, perencanaan sprint, pemantauan progres tiket</t>
  </si>
  <si>
    <t>Akses untuk semua anggota</t>
  </si>
  <si>
    <t>Column 1</t>
  </si>
  <si>
    <t>Confluence</t>
  </si>
  <si>
    <t>Memusatkan dokumentasi produk</t>
  </si>
  <si>
    <t>Productboard</t>
  </si>
  <si>
    <t>Membuat produk roadmap dan menghubungkan umpan balik pengguna ke ide fitur</t>
  </si>
  <si>
    <t>Akses untuk PM</t>
  </si>
  <si>
    <t>Modul</t>
  </si>
  <si>
    <t>Chat PRD</t>
  </si>
  <si>
    <t>Membuat PRD berdasarkan kebutuhan pengguna</t>
  </si>
  <si>
    <t>Fitur</t>
  </si>
  <si>
    <t>Google Notebook Pro</t>
  </si>
  <si>
    <t>Menganalisa kumpulan data pasar, kebutuhan dan umpan balik pengguna</t>
  </si>
  <si>
    <t>Design &amp; User Research</t>
  </si>
  <si>
    <t>Biaya Per Modul</t>
  </si>
  <si>
    <t>Yang Diajukan ke RIIM Kompetisi</t>
  </si>
  <si>
    <t>Tahun ke</t>
  </si>
  <si>
    <t>Figma</t>
  </si>
  <si>
    <t>Membuat user flow hingga prototype</t>
  </si>
  <si>
    <t>Akses untuk PM, UXUI, Front End, QA</t>
  </si>
  <si>
    <t>Miro</t>
  </si>
  <si>
    <t>Brainstorming bersama tim</t>
  </si>
  <si>
    <t>Maze</t>
  </si>
  <si>
    <r>
      <rPr>
        <rFont val="Arial"/>
        <color theme="1"/>
      </rPr>
      <t xml:space="preserve">Menjalankan uji coba pengguna dengan melihat </t>
    </r>
    <r>
      <rPr>
        <rFont val="Arial"/>
        <i/>
        <color theme="1"/>
      </rPr>
      <t>heatmaps</t>
    </r>
    <r>
      <rPr>
        <rFont val="Arial"/>
        <color theme="1"/>
      </rPr>
      <t xml:space="preserve"> penggunaan prototype</t>
    </r>
  </si>
  <si>
    <t>Akses untuk PM dan UXUI</t>
  </si>
  <si>
    <t>Biaya Penyempurnaan Platform</t>
  </si>
  <si>
    <t>Software Engineering</t>
  </si>
  <si>
    <t>GitHub</t>
  </si>
  <si>
    <t>Mengelola kode</t>
  </si>
  <si>
    <t>Akses untuk FE dan BE</t>
  </si>
  <si>
    <t>Biaya (Talent + Tools)</t>
  </si>
  <si>
    <t>VS Code</t>
  </si>
  <si>
    <t>Menulis kode</t>
  </si>
  <si>
    <t>- Pencarian komunitas</t>
  </si>
  <si>
    <t>Docker</t>
  </si>
  <si>
    <t>Menyatukan aplikasi untuk memudahkan ujicoba dan produksi</t>
  </si>
  <si>
    <t>Dashboard Analitik</t>
  </si>
  <si>
    <t>Read</t>
  </si>
  <si>
    <t>LaunchDarkly</t>
  </si>
  <si>
    <t>Menandai fitur yang belum siap ujicoba</t>
  </si>
  <si>
    <t>QA</t>
  </si>
  <si>
    <t>Postman</t>
  </si>
  <si>
    <t>Ujicoba API dan backend</t>
  </si>
  <si>
    <t>Akses untuk QA</t>
  </si>
  <si>
    <t>Selenium</t>
  </si>
  <si>
    <t>Ujicoba otomatis</t>
  </si>
  <si>
    <t>BrowserStack</t>
  </si>
  <si>
    <t>Ujicoba perilaku aplikasi</t>
  </si>
  <si>
    <t>Akses untuk FE, BE, QA</t>
  </si>
  <si>
    <t>Data Analytic</t>
  </si>
  <si>
    <t>Amplitude</t>
  </si>
  <si>
    <t>Pemantauan navigasi aplikasi yang dilakukan pengguna</t>
  </si>
  <si>
    <t>LogRocket</t>
  </si>
  <si>
    <t>Pemantauan kinerja sistem</t>
  </si>
  <si>
    <t>Akses untuk semua anggota (harga tim)</t>
  </si>
  <si>
    <t>Equipment</t>
  </si>
  <si>
    <t>Server</t>
  </si>
  <si>
    <t>Peletakkan aplikasi dan data</t>
  </si>
  <si>
    <t>Akses ke aplikasi</t>
  </si>
  <si>
    <t>Domain</t>
  </si>
  <si>
    <t xml:space="preserve">Alamat akses aplikasi </t>
  </si>
  <si>
    <t>Create</t>
  </si>
  <si>
    <t>- Daftar komunitas</t>
  </si>
  <si>
    <t>- Profil komunitas</t>
  </si>
  <si>
    <t>Update</t>
  </si>
  <si>
    <t>- Integrasi sosial media</t>
  </si>
  <si>
    <t>Delete</t>
  </si>
  <si>
    <t>- Membuat komunitas</t>
  </si>
  <si>
    <t>Read &amp; Create</t>
  </si>
  <si>
    <t>- Perbarui komunitas</t>
  </si>
  <si>
    <t>- Hapus komunitas</t>
  </si>
  <si>
    <t>- Analitik keaktifan komunitas</t>
  </si>
  <si>
    <t>Keanggotaan</t>
  </si>
  <si>
    <t>- Pengaturan pendaftaran anggota baru</t>
  </si>
  <si>
    <t>- Undangan keanggotaan</t>
  </si>
  <si>
    <t>- Pendaftaran anggota baru</t>
  </si>
  <si>
    <t>- Seleksi anggota</t>
  </si>
  <si>
    <t>- Aktifitas anggota</t>
  </si>
  <si>
    <t>- Profil anggota</t>
  </si>
  <si>
    <t>- Perbarui keanggotaan</t>
  </si>
  <si>
    <t>- Hapus keanggotaan</t>
  </si>
  <si>
    <t>- Analitik keaktifan anggota</t>
  </si>
  <si>
    <t>- Integrasi news feed</t>
  </si>
  <si>
    <t>- Interaksi news feed</t>
  </si>
  <si>
    <t>Kepengurusan</t>
  </si>
  <si>
    <t>- Pengaturan bentuk kepengurusan</t>
  </si>
  <si>
    <t>- Pengaturan kepengurusan</t>
  </si>
  <si>
    <t>- Struktur kepengurusan</t>
  </si>
  <si>
    <t>- Profil kepengurusan</t>
  </si>
  <si>
    <t>- Pengaturan pemilihan ketua</t>
  </si>
  <si>
    <t>- Pemilihan ketua</t>
  </si>
  <si>
    <t>- Pendaftaran kepengurusan</t>
  </si>
  <si>
    <t>- Pemilihan kepengurusan</t>
  </si>
  <si>
    <t>- Pergantian pengurus (serah terima jabatan)</t>
  </si>
  <si>
    <t>- Perbarui kepengurusan</t>
  </si>
  <si>
    <t>- Analitik keaktifan kepengurusan</t>
  </si>
  <si>
    <t>Event management</t>
  </si>
  <si>
    <t>- Pengaturan event</t>
  </si>
  <si>
    <t>- Promosi event</t>
  </si>
  <si>
    <t>- Pendaftaran event</t>
  </si>
  <si>
    <t>- Integrasi kalender</t>
  </si>
  <si>
    <t>- Attendance</t>
  </si>
  <si>
    <t>- Social media integration</t>
  </si>
  <si>
    <t>- Pengaturan Survey kepuasan</t>
  </si>
  <si>
    <t>- Pengisian survey kepuasan</t>
  </si>
  <si>
    <t>- Integrasi profil komunitas</t>
  </si>
  <si>
    <t>- Pengaturan undangan (setelah kolaborasi)</t>
  </si>
  <si>
    <t>- Pembacaan undangan</t>
  </si>
  <si>
    <t>- Respon undangan</t>
  </si>
  <si>
    <t>- Halaman event</t>
  </si>
  <si>
    <t>Sertifikat</t>
  </si>
  <si>
    <t>- Pengaturan sertifikat</t>
  </si>
  <si>
    <t>- Pilihan rancangan sertifikat</t>
  </si>
  <si>
    <t>- Pembagian sertifikat</t>
  </si>
  <si>
    <t>- Integrasi profil pengguna</t>
  </si>
  <si>
    <t>- Integrasi media sosial</t>
  </si>
  <si>
    <t>Video Conference</t>
  </si>
  <si>
    <t>- Penjadwalan video conference</t>
  </si>
  <si>
    <t>- Pengaturan video conference</t>
  </si>
  <si>
    <t>- Video conference live</t>
  </si>
  <si>
    <t>- Integrasi live streaming</t>
  </si>
  <si>
    <t>- Screen capture</t>
  </si>
  <si>
    <t>- Pengaturan background</t>
  </si>
  <si>
    <t>- Integrasi event</t>
  </si>
  <si>
    <t>- Integrasi cloud storage</t>
  </si>
  <si>
    <t>- Chat</t>
  </si>
  <si>
    <t>- Pengaturan pertanyaan quiz</t>
  </si>
  <si>
    <t>- Pengumpulan jawaban quiz</t>
  </si>
  <si>
    <t>- Pembagian jawaban quiz</t>
  </si>
  <si>
    <t>- Share screen</t>
  </si>
  <si>
    <t>- Pengaturan materi video conference</t>
  </si>
  <si>
    <t>- Penggunaan materi video conference</t>
  </si>
  <si>
    <t>- Pengaturan musik untuk meeting</t>
  </si>
  <si>
    <t>- Memainkan musik untuk meeting</t>
  </si>
  <si>
    <t>- Mengatur agenda conference</t>
  </si>
  <si>
    <t>- Menampilkan agenda conference</t>
  </si>
  <si>
    <t>- Absen conference</t>
  </si>
  <si>
    <t>- Halaman video conference</t>
  </si>
  <si>
    <t>Cloud storage</t>
  </si>
  <si>
    <t>- Upload files</t>
  </si>
  <si>
    <t>- Lihat Photos</t>
  </si>
  <si>
    <t>- Lihat Videos</t>
  </si>
  <si>
    <t>- Lihat Notes</t>
  </si>
  <si>
    <t>- Lihat Pdf</t>
  </si>
  <si>
    <t>- Hapus files</t>
  </si>
  <si>
    <t>- Memindahkan files</t>
  </si>
  <si>
    <t>- Mengatur akses file</t>
  </si>
  <si>
    <t>- Halaman cloud storage</t>
  </si>
  <si>
    <t xml:space="preserve">Community Collaboration </t>
  </si>
  <si>
    <t>- Follow-followan</t>
  </si>
  <si>
    <t>- Pengaturan afiliasi</t>
  </si>
  <si>
    <t xml:space="preserve">- Menampilkan afiliasi </t>
  </si>
  <si>
    <t>- Update status</t>
  </si>
  <si>
    <t>- News feed</t>
  </si>
  <si>
    <t>- Respon news feed</t>
  </si>
  <si>
    <t>- Membuat Polling</t>
  </si>
  <si>
    <t>- Menjawab polling</t>
  </si>
  <si>
    <t>- Membuat Pesan</t>
  </si>
  <si>
    <t>- Balas pesan</t>
  </si>
  <si>
    <t>Catatan</t>
  </si>
  <si>
    <t>- Membuat catatan</t>
  </si>
  <si>
    <t>- Mengatur catatan</t>
  </si>
  <si>
    <t>- Membagikan catatan</t>
  </si>
  <si>
    <t>- Komentari catatan</t>
  </si>
  <si>
    <t>- Halaman catatan</t>
  </si>
  <si>
    <t>Keuangan</t>
  </si>
  <si>
    <t>- Integrasi akun bank</t>
  </si>
  <si>
    <t>- Menampilkan catatan cashflow</t>
  </si>
  <si>
    <t>- Mengatur akun</t>
  </si>
  <si>
    <t>- Menampilkkan catatan akun</t>
  </si>
  <si>
    <t>- Mengatur jurnal</t>
  </si>
  <si>
    <t>- Menampilkan catatan jurnal</t>
  </si>
  <si>
    <t>- Mengatur Neraca</t>
  </si>
  <si>
    <t>- Menampilkan neraca</t>
  </si>
  <si>
    <t>- Mengatur Inventori</t>
  </si>
  <si>
    <t>- Membuat memo</t>
  </si>
  <si>
    <t>- Menyetujui Memo</t>
  </si>
  <si>
    <t>- Mengupdate memo</t>
  </si>
  <si>
    <t>- Pembukaan akun</t>
  </si>
  <si>
    <t>Venue</t>
  </si>
  <si>
    <t>- Pendaftaran venue</t>
  </si>
  <si>
    <t>- Pengaturan venue</t>
  </si>
  <si>
    <t>- Halaman venue</t>
  </si>
  <si>
    <t>- Promosi venue</t>
  </si>
  <si>
    <t>- Analitik kinerja komunitas</t>
  </si>
  <si>
    <t>Fasilitator (AI)</t>
  </si>
  <si>
    <t>- Calendar konsultasi</t>
  </si>
  <si>
    <t>- Permintaan konsultasi</t>
  </si>
  <si>
    <t>- Komunitas Pintar (Knowledge Center dari Kolavo)</t>
  </si>
  <si>
    <t>- Membuat artikel</t>
  </si>
  <si>
    <t>- Memperbarui artikel</t>
  </si>
  <si>
    <t>- Menghapus artikel</t>
  </si>
  <si>
    <t>- Rekomendasi artikel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</si>
</sst>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Rp]#,##0"/>
    <numFmt numFmtId="165" formatCode="[$$]#,##0.00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/>
    <font>
      <b/>
      <i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EAD1DC"/>
        <bgColor rgb="FFEAD1DC"/>
      </patternFill>
    </fill>
    <fill>
      <patternFill patternType="solid">
        <fgColor rgb="FFCFE2F3"/>
        <bgColor rgb="FFCFE2F3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</fills>
  <borders count="1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2" numFmtId="0" xfId="0" applyAlignment="1" applyBorder="1" applyFont="1">
      <alignment readingOrder="0" vertical="top"/>
    </xf>
    <xf borderId="1" fillId="0" fontId="2" numFmtId="0" xfId="0" applyAlignment="1" applyBorder="1" applyFont="1">
      <alignment readingOrder="0"/>
    </xf>
    <xf borderId="2" fillId="0" fontId="1" numFmtId="0" xfId="0" applyBorder="1" applyFont="1"/>
    <xf borderId="0" fillId="2" fontId="2" numFmtId="0" xfId="0" applyAlignment="1" applyFill="1" applyFont="1">
      <alignment readingOrder="0"/>
    </xf>
    <xf borderId="2" fillId="0" fontId="2" numFmtId="0" xfId="0" applyAlignment="1" applyBorder="1" applyFont="1">
      <alignment readingOrder="0"/>
    </xf>
    <xf borderId="3" fillId="0" fontId="2" numFmtId="0" xfId="0" applyAlignment="1" applyBorder="1" applyFont="1">
      <alignment readingOrder="0" vertical="top"/>
    </xf>
    <xf borderId="0" fillId="2" fontId="1" numFmtId="0" xfId="0" applyAlignment="1" applyFont="1">
      <alignment readingOrder="0"/>
    </xf>
    <xf borderId="0" fillId="2" fontId="2" numFmtId="3" xfId="0" applyAlignment="1" applyFont="1" applyNumberFormat="1">
      <alignment readingOrder="0"/>
    </xf>
    <xf borderId="4" fillId="0" fontId="2" numFmtId="0" xfId="0" applyAlignment="1" applyBorder="1" applyFont="1">
      <alignment readingOrder="0"/>
    </xf>
    <xf borderId="5" fillId="0" fontId="3" numFmtId="0" xfId="0" applyBorder="1" applyFont="1"/>
    <xf borderId="3" fillId="0" fontId="2" numFmtId="0" xfId="0" applyAlignment="1" applyBorder="1" applyFont="1">
      <alignment readingOrder="0"/>
    </xf>
    <xf borderId="5" fillId="0" fontId="1" numFmtId="0" xfId="0" applyBorder="1" applyFont="1"/>
    <xf borderId="6" fillId="0" fontId="2" numFmtId="0" xfId="0" applyAlignment="1" applyBorder="1" applyFont="1">
      <alignment readingOrder="0"/>
    </xf>
    <xf borderId="0" fillId="0" fontId="4" numFmtId="0" xfId="0" applyFont="1"/>
    <xf borderId="7" fillId="0" fontId="1" numFmtId="0" xfId="0" applyAlignment="1" applyBorder="1" applyFont="1">
      <alignment vertical="top"/>
    </xf>
    <xf borderId="8" fillId="0" fontId="3" numFmtId="0" xfId="0" applyBorder="1" applyFont="1"/>
    <xf borderId="9" fillId="0" fontId="4" numFmtId="0" xfId="0" applyAlignment="1" applyBorder="1" applyFont="1">
      <alignment readingOrder="0" vertical="top"/>
    </xf>
    <xf borderId="4" fillId="0" fontId="1" numFmtId="0" xfId="0" applyAlignment="1" applyBorder="1" applyFont="1">
      <alignment vertical="top"/>
    </xf>
    <xf borderId="0" fillId="2" fontId="2" numFmtId="164" xfId="0" applyAlignment="1" applyFont="1" applyNumberFormat="1">
      <alignment readingOrder="0"/>
    </xf>
    <xf borderId="6" fillId="0" fontId="3" numFmtId="0" xfId="0" applyBorder="1" applyFont="1"/>
    <xf borderId="10" fillId="0" fontId="4" numFmtId="3" xfId="0" applyAlignment="1" applyBorder="1" applyFont="1" applyNumberFormat="1">
      <alignment readingOrder="0"/>
    </xf>
    <xf borderId="7" fillId="0" fontId="3" numFmtId="0" xfId="0" applyBorder="1" applyFont="1"/>
    <xf borderId="10" fillId="0" fontId="3" numFmtId="0" xfId="0" applyBorder="1" applyFont="1"/>
    <xf borderId="11" fillId="0" fontId="3" numFmtId="0" xfId="0" applyBorder="1" applyFont="1"/>
    <xf borderId="12" fillId="0" fontId="3" numFmtId="0" xfId="0" applyBorder="1" applyFont="1"/>
    <xf borderId="0" fillId="2" fontId="2" numFmtId="164" xfId="0" applyFont="1" applyNumberFormat="1"/>
    <xf borderId="11" fillId="0" fontId="4" numFmtId="3" xfId="0" applyBorder="1" applyFont="1" applyNumberFormat="1"/>
    <xf borderId="0" fillId="0" fontId="1" numFmtId="0" xfId="0" applyAlignment="1" applyFont="1">
      <alignment horizontal="center" vertical="center"/>
    </xf>
    <xf borderId="0" fillId="0" fontId="2" numFmtId="0" xfId="0" applyFont="1"/>
    <xf borderId="0" fillId="3" fontId="2" numFmtId="0" xfId="0" applyAlignment="1" applyFill="1" applyFont="1">
      <alignment readingOrder="0"/>
    </xf>
    <xf borderId="4" fillId="0" fontId="1" numFmtId="0" xfId="0" applyAlignment="1" applyBorder="1" applyFont="1">
      <alignment horizontal="center" readingOrder="0" vertical="center"/>
    </xf>
    <xf borderId="0" fillId="3" fontId="2" numFmtId="0" xfId="0" applyFont="1"/>
    <xf borderId="5" fillId="0" fontId="1" numFmtId="0" xfId="0" applyAlignment="1" applyBorder="1" applyFont="1">
      <alignment horizontal="center" readingOrder="0" vertical="center"/>
    </xf>
    <xf borderId="0" fillId="3" fontId="2" numFmtId="3" xfId="0" applyFont="1" applyNumberFormat="1"/>
    <xf borderId="0" fillId="3" fontId="2" numFmtId="164" xfId="0" applyFont="1" applyNumberFormat="1"/>
    <xf borderId="12" fillId="0" fontId="4" numFmtId="3" xfId="0" applyBorder="1" applyFont="1" applyNumberFormat="1"/>
    <xf borderId="0" fillId="3" fontId="2" numFmtId="164" xfId="0" applyAlignment="1" applyFont="1" applyNumberFormat="1">
      <alignment readingOrder="0"/>
    </xf>
    <xf borderId="4" fillId="0" fontId="1" numFmtId="0" xfId="0" applyAlignment="1" applyBorder="1" applyFont="1">
      <alignment readingOrder="0"/>
    </xf>
    <xf borderId="0" fillId="0" fontId="4" numFmtId="3" xfId="0" applyFont="1" applyNumberFormat="1"/>
    <xf borderId="6" fillId="0" fontId="1" numFmtId="0" xfId="0" applyAlignment="1" applyBorder="1" applyFont="1">
      <alignment horizontal="center" readingOrder="0" vertical="center"/>
    </xf>
    <xf borderId="0" fillId="0" fontId="2" numFmtId="10" xfId="0" applyFont="1" applyNumberFormat="1"/>
    <xf borderId="5" fillId="0" fontId="1" numFmtId="0" xfId="0" applyAlignment="1" applyBorder="1" applyFont="1">
      <alignment readingOrder="0"/>
    </xf>
    <xf borderId="13" fillId="0" fontId="3" numFmtId="0" xfId="0" applyBorder="1" applyFont="1"/>
    <xf borderId="1" fillId="0" fontId="1" numFmtId="0" xfId="0" applyAlignment="1" applyBorder="1" applyFont="1">
      <alignment horizontal="center" readingOrder="0" vertical="center"/>
    </xf>
    <xf borderId="9" fillId="0" fontId="1" numFmtId="0" xfId="0" applyAlignment="1" applyBorder="1" applyFont="1">
      <alignment readingOrder="0"/>
    </xf>
    <xf borderId="0" fillId="0" fontId="1" numFmtId="164" xfId="0" applyAlignment="1" applyFont="1" applyNumberFormat="1">
      <alignment readingOrder="0"/>
    </xf>
    <xf borderId="4" fillId="0" fontId="1" numFmtId="3" xfId="0" applyBorder="1" applyFont="1" applyNumberFormat="1"/>
    <xf borderId="0" fillId="0" fontId="1" numFmtId="3" xfId="0" applyAlignment="1" applyFont="1" applyNumberFormat="1">
      <alignment readingOrder="0"/>
    </xf>
    <xf borderId="3" fillId="0" fontId="1" numFmtId="0" xfId="0" applyAlignment="1" applyBorder="1" applyFont="1">
      <alignment horizontal="center" readingOrder="0" vertical="center"/>
    </xf>
    <xf borderId="0" fillId="0" fontId="1" numFmtId="164" xfId="0" applyFont="1" applyNumberFormat="1"/>
    <xf borderId="7" fillId="0" fontId="1" numFmtId="0" xfId="0" applyAlignment="1" applyBorder="1" applyFont="1">
      <alignment readingOrder="0"/>
    </xf>
    <xf borderId="10" fillId="0" fontId="1" numFmtId="0" xfId="0" applyBorder="1" applyFont="1"/>
    <xf borderId="5" fillId="0" fontId="1" numFmtId="3" xfId="0" applyBorder="1" applyFont="1" applyNumberFormat="1"/>
    <xf borderId="5" fillId="0" fontId="1" numFmtId="4" xfId="0" applyBorder="1" applyFont="1" applyNumberFormat="1"/>
    <xf borderId="11" fillId="0" fontId="1" numFmtId="0" xfId="0" applyBorder="1" applyFont="1"/>
    <xf borderId="0" fillId="0" fontId="1" numFmtId="0" xfId="0" applyAlignment="1" applyFont="1">
      <alignment horizontal="center" readingOrder="0"/>
    </xf>
    <xf borderId="6" fillId="0" fontId="1" numFmtId="0" xfId="0" applyBorder="1" applyFont="1"/>
    <xf borderId="0" fillId="0" fontId="1" numFmtId="3" xfId="0" applyFont="1" applyNumberFormat="1"/>
    <xf borderId="0" fillId="3" fontId="2" numFmtId="3" xfId="0" applyAlignment="1" applyFont="1" applyNumberFormat="1">
      <alignment readingOrder="0"/>
    </xf>
    <xf borderId="11" fillId="0" fontId="1" numFmtId="4" xfId="0" applyBorder="1" applyFont="1" applyNumberFormat="1"/>
    <xf borderId="7" fillId="0" fontId="1" numFmtId="3" xfId="0" applyBorder="1" applyFont="1" applyNumberFormat="1"/>
    <xf borderId="8" fillId="0" fontId="1" numFmtId="0" xfId="0" applyBorder="1" applyFont="1"/>
    <xf borderId="8" fillId="0" fontId="1" numFmtId="3" xfId="0" applyBorder="1" applyFont="1" applyNumberFormat="1"/>
    <xf borderId="0" fillId="4" fontId="2" numFmtId="0" xfId="0" applyAlignment="1" applyFill="1" applyFont="1">
      <alignment readingOrder="0"/>
    </xf>
    <xf borderId="0" fillId="4" fontId="2" numFmtId="0" xfId="0" applyFont="1"/>
    <xf borderId="0" fillId="4" fontId="2" numFmtId="3" xfId="0" applyFont="1" applyNumberFormat="1"/>
    <xf borderId="0" fillId="4" fontId="2" numFmtId="164" xfId="0" applyFont="1" applyNumberFormat="1"/>
    <xf borderId="7" fillId="0" fontId="1" numFmtId="0" xfId="0" applyBorder="1" applyFont="1"/>
    <xf borderId="0" fillId="4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3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1" numFmtId="4" xfId="0" applyFont="1" applyNumberFormat="1"/>
    <xf borderId="14" fillId="0" fontId="1" numFmtId="4" xfId="0" applyBorder="1" applyFont="1" applyNumberFormat="1"/>
    <xf borderId="0" fillId="0" fontId="1" numFmtId="0" xfId="0" applyAlignment="1" applyFont="1">
      <alignment readingOrder="0"/>
    </xf>
    <xf borderId="0" fillId="5" fontId="2" numFmtId="0" xfId="0" applyAlignment="1" applyFill="1" applyFont="1">
      <alignment readingOrder="0"/>
    </xf>
    <xf borderId="0" fillId="5" fontId="2" numFmtId="0" xfId="0" applyFont="1"/>
    <xf borderId="0" fillId="5" fontId="2" numFmtId="3" xfId="0" applyAlignment="1" applyFont="1" applyNumberFormat="1">
      <alignment readingOrder="0"/>
    </xf>
    <xf borderId="0" fillId="5" fontId="2" numFmtId="165" xfId="0" applyAlignment="1" applyFont="1" applyNumberFormat="1">
      <alignment readingOrder="0"/>
    </xf>
    <xf borderId="1" fillId="0" fontId="1" numFmtId="0" xfId="0" applyAlignment="1" applyBorder="1" applyFont="1">
      <alignment readingOrder="0"/>
    </xf>
    <xf borderId="1" fillId="0" fontId="2" numFmtId="0" xfId="0" applyAlignment="1" applyBorder="1" applyFont="1">
      <alignment horizontal="center" readingOrder="0"/>
    </xf>
    <xf borderId="0" fillId="5" fontId="2" numFmtId="165" xfId="0" applyFont="1" applyNumberFormat="1"/>
    <xf borderId="2" fillId="0" fontId="3" numFmtId="0" xfId="0" applyBorder="1" applyFont="1"/>
    <xf borderId="2" fillId="0" fontId="1" numFmtId="0" xfId="0" applyAlignment="1" applyBorder="1" applyFont="1">
      <alignment readingOrder="0"/>
    </xf>
    <xf borderId="14" fillId="0" fontId="3" numFmtId="0" xfId="0" applyBorder="1" applyFont="1"/>
    <xf borderId="10" fillId="0" fontId="1" numFmtId="3" xfId="0" applyBorder="1" applyFont="1" applyNumberFormat="1"/>
    <xf borderId="3" fillId="0" fontId="2" numFmtId="0" xfId="0" applyBorder="1" applyFont="1"/>
    <xf borderId="3" fillId="0" fontId="1" numFmtId="0" xfId="0" applyAlignment="1" applyBorder="1" applyFont="1">
      <alignment readingOrder="0"/>
    </xf>
    <xf borderId="11" fillId="0" fontId="1" numFmtId="3" xfId="0" applyBorder="1" applyFont="1" applyNumberFormat="1"/>
    <xf borderId="0" fillId="0" fontId="1" numFmtId="165" xfId="0" applyAlignment="1" applyFont="1" applyNumberFormat="1">
      <alignment readingOrder="0"/>
    </xf>
    <xf borderId="12" fillId="0" fontId="1" numFmtId="0" xfId="0" applyBorder="1" applyFont="1"/>
    <xf borderId="0" fillId="0" fontId="1" numFmtId="165" xfId="0" applyFont="1" applyNumberFormat="1"/>
    <xf borderId="13" fillId="0" fontId="4" numFmtId="0" xfId="0" applyAlignment="1" applyBorder="1" applyFont="1">
      <alignment readingOrder="0" vertical="top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5" fontId="2" numFmtId="3" xfId="0" applyFont="1" applyNumberFormat="1"/>
    <xf borderId="0" fillId="5" fontId="2" numFmtId="165" xfId="0" applyFont="1" applyNumberFormat="1"/>
    <xf borderId="8" fillId="0" fontId="4" numFmtId="0" xfId="0" applyBorder="1" applyFont="1"/>
    <xf borderId="0" fillId="0" fontId="1" numFmtId="49" xfId="0" applyAlignment="1" applyFont="1" applyNumberFormat="1">
      <alignment horizontal="left" readingOrder="0" shrinkToFit="0" vertical="center" wrapText="0"/>
    </xf>
    <xf borderId="0" fillId="5" fontId="2" numFmtId="165" xfId="0" applyAlignment="1" applyFont="1" applyNumberFormat="1">
      <alignment readingOrder="0"/>
    </xf>
    <xf borderId="0" fillId="0" fontId="1" numFmtId="0" xfId="0" applyAlignment="1" applyFont="1">
      <alignment horizontal="left" readingOrder="0" shrinkToFit="0" vertical="center" wrapText="0"/>
    </xf>
    <xf borderId="15" fillId="0" fontId="1" numFmtId="0" xfId="0" applyAlignment="1" applyBorder="1" applyFont="1">
      <alignment readingOrder="0"/>
    </xf>
    <xf borderId="0" fillId="0" fontId="1" numFmtId="0" xfId="0" applyAlignment="1" applyFont="1">
      <alignment readingOrder="0" shrinkToFit="0" vertical="center" wrapText="0"/>
    </xf>
    <xf borderId="7" fillId="0" fontId="1" numFmtId="3" xfId="0" applyAlignment="1" applyBorder="1" applyFont="1" applyNumberFormat="1">
      <alignment readingOrder="0"/>
    </xf>
    <xf borderId="0" fillId="0" fontId="1" numFmtId="0" xfId="0" applyAlignment="1" applyFont="1">
      <alignment readingOrder="0" shrinkToFit="0" vertical="center" wrapText="0"/>
    </xf>
    <xf borderId="1" fillId="0" fontId="4" numFmtId="3" xfId="0" applyAlignment="1" applyBorder="1" applyFont="1" applyNumberFormat="1">
      <alignment readingOrder="0"/>
    </xf>
    <xf borderId="2" fillId="0" fontId="4" numFmtId="3" xfId="0" applyBorder="1" applyFont="1" applyNumberFormat="1"/>
    <xf borderId="0" fillId="0" fontId="1" numFmtId="165" xfId="0" applyAlignment="1" applyFont="1" applyNumberFormat="1">
      <alignment readingOrder="0"/>
    </xf>
    <xf borderId="0" fillId="0" fontId="1" numFmtId="165" xfId="0" applyFont="1" applyNumberFormat="1"/>
    <xf borderId="3" fillId="0" fontId="4" numFmtId="3" xfId="0" applyBorder="1" applyFont="1" applyNumberFormat="1"/>
    <xf borderId="0" fillId="0" fontId="1" numFmtId="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Font="1"/>
    <xf borderId="0" fillId="5" fontId="2" numFmtId="164" xfId="0" applyFont="1" applyNumberFormat="1"/>
    <xf borderId="0" fillId="5" fontId="2" numFmtId="164" xfId="0" applyAlignment="1" applyFont="1" applyNumberFormat="1">
      <alignment readingOrder="0"/>
    </xf>
    <xf borderId="1" fillId="0" fontId="4" numFmtId="0" xfId="0" applyAlignment="1" applyBorder="1" applyFont="1">
      <alignment horizontal="center" readingOrder="0"/>
    </xf>
    <xf borderId="3" fillId="0" fontId="4" numFmtId="3" xfId="0" applyAlignment="1" applyBorder="1" applyFont="1" applyNumberFormat="1">
      <alignment horizontal="center"/>
    </xf>
    <xf borderId="0" fillId="6" fontId="2" numFmtId="0" xfId="0" applyAlignment="1" applyFill="1" applyFont="1">
      <alignment readingOrder="0"/>
    </xf>
    <xf borderId="0" fillId="6" fontId="2" numFmtId="0" xfId="0" applyFont="1"/>
    <xf borderId="15" fillId="0" fontId="1" numFmtId="4" xfId="0" applyAlignment="1" applyBorder="1" applyFont="1" applyNumberFormat="1">
      <alignment readingOrder="0"/>
    </xf>
    <xf borderId="0" fillId="6" fontId="1" numFmtId="0" xfId="0" applyFont="1"/>
    <xf borderId="0" fillId="6" fontId="1" numFmtId="164" xfId="0" applyAlignment="1" applyFont="1" applyNumberFormat="1">
      <alignment readingOrder="0"/>
    </xf>
    <xf borderId="0" fillId="6" fontId="2" numFmtId="0" xfId="0" applyAlignment="1" applyFont="1">
      <alignment horizontal="right" readingOrder="0"/>
    </xf>
    <xf borderId="0" fillId="0" fontId="1" numFmtId="0" xfId="0" applyAlignment="1" applyFont="1">
      <alignment shrinkToFit="0" vertical="center" wrapText="0"/>
    </xf>
    <xf borderId="0" fillId="0" fontId="1" numFmtId="4" xfId="0" applyAlignment="1" applyFont="1" applyNumberForma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4" xfId="0" applyAlignment="1" applyFont="1" applyNumberFormat="1">
      <alignment shrinkToFit="0" vertical="center" wrapText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B7E1CD"/>
          <bgColor rgb="FFB7E1CD"/>
        </patternFill>
      </fill>
      <border/>
    </dxf>
  </dxfs>
  <tableStyles count="1">
    <tableStyle count="4" pivot="0" name="Daftar Fitur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nana puspita" id="{bf917fa7-52ad-4d8f-be43-e583c2d08d1d}" providerId="google-sheets"/>
</x18tc:personList>
</file>

<file path=xl/tables/table1.xml><?xml version="1.0" encoding="utf-8"?>
<table xmlns="http://schemas.openxmlformats.org/spreadsheetml/2006/main" ref="A4:L124" displayName="Table1" name="Table1" id="1">
  <autoFilter ref="$A$4:$L$124"/>
  <tableColumns count="12">
    <tableColumn name="Column 1" id="1"/>
    <tableColumn name="Modul" id="2"/>
    <tableColumn name="Fitur" id="3"/>
    <tableColumn name="Fungsi" id="4"/>
    <tableColumn name="Biaya" id="5"/>
    <tableColumn name="Biaya Per Modul" id="6"/>
    <tableColumn name="Yang Diajukan ke RIIM Kompetisi" id="7"/>
    <tableColumn name="Tahun ke" id="8"/>
    <tableColumn name="Biaya Pembuatan Model" id="9"/>
    <tableColumn name="Biaya Pembuatan Arsitektur" id="10"/>
    <tableColumn name="Biaya Pembuatan MVP" id="11"/>
    <tableColumn name="Biaya Penyempurnaan Platform" id="12"/>
  </tableColumns>
  <tableStyleInfo name="Daftar Fitur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6-07-19T14:38:56.00" personId="{bf917fa7-52ad-4d8f-be43-e583c2d08d1d}" id="{4db2a668-0b19-429e-8e74-7c6347a3cc04}" done="0">
    <x18tc:text xml:space="preserve">Nana handle the PRD then need one more QA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Relationship Id="rId7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20.13"/>
    <col customWidth="1" min="3" max="3" width="39.63"/>
    <col customWidth="1" min="4" max="4" width="16.88"/>
    <col customWidth="1" min="5" max="5" width="14.0"/>
    <col customWidth="1" min="6" max="6" width="18.38"/>
    <col customWidth="1" min="7" max="7" width="28.88"/>
    <col customWidth="1" min="8" max="8" width="14.0"/>
    <col customWidth="1" min="9" max="9" width="23.5"/>
    <col customWidth="1" min="10" max="10" width="26.13"/>
    <col customWidth="1" min="11" max="11" width="22.38"/>
    <col customWidth="1" min="12" max="12" width="29.25"/>
    <col customWidth="1" min="15" max="15" width="19.13"/>
    <col customWidth="1" min="16" max="16" width="21.63"/>
    <col customWidth="1" min="17" max="17" width="18.25"/>
    <col customWidth="1" min="18" max="18" width="19.25"/>
  </cols>
  <sheetData>
    <row r="1">
      <c r="A1" s="1"/>
      <c r="B1" s="39" t="s">
        <v>24</v>
      </c>
      <c r="C1" s="43" t="s">
        <v>26</v>
      </c>
      <c r="D1" s="13"/>
      <c r="E1" s="43" t="s">
        <v>27</v>
      </c>
      <c r="F1" s="43" t="s">
        <v>27</v>
      </c>
      <c r="G1" s="46" t="s">
        <v>30</v>
      </c>
      <c r="H1" s="13"/>
      <c r="I1" s="1"/>
      <c r="J1" s="1"/>
      <c r="K1" s="1"/>
      <c r="L1" s="1"/>
    </row>
    <row r="2">
      <c r="B2" s="53">
        <f t="shared" ref="B2:D2" si="1">COUNTA(B5:B140)</f>
        <v>13</v>
      </c>
      <c r="C2" s="56">
        <f t="shared" si="1"/>
        <v>119</v>
      </c>
      <c r="D2" s="56">
        <f t="shared" si="1"/>
        <v>119</v>
      </c>
      <c r="E2" s="61">
        <f t="shared" ref="E2:F2" si="2">sum(E5:E140)</f>
        <v>902000000</v>
      </c>
      <c r="F2" s="61">
        <f t="shared" si="2"/>
        <v>902000000</v>
      </c>
      <c r="G2" s="75">
        <f>if(G5=1,F5,0)+if(G13=1,F13,0)+if(G24=1,F24,0)+if(G35=1,F35,0)+if(G48=1,F48,0)+if(G53=1,F53,0)+if(G74=1,F74,0)+if(G83=1,F83,0)+if(G93=1,F93,0)+if(G98=1,F98,0)+if(G111=1,F111,0)+if(G116=1,F116,0)+if(G117=1,F117,0)</f>
        <v>525000000</v>
      </c>
    </row>
    <row r="3">
      <c r="A3" s="76"/>
      <c r="B3" s="1"/>
      <c r="C3" s="1"/>
      <c r="D3" s="1"/>
      <c r="E3" s="1"/>
      <c r="F3" s="1"/>
      <c r="G3" s="1"/>
      <c r="H3" s="81" t="s">
        <v>61</v>
      </c>
      <c r="I3" s="85">
        <v>0.05</v>
      </c>
      <c r="J3" s="85">
        <v>0.1</v>
      </c>
      <c r="K3" s="85">
        <v>0.65</v>
      </c>
      <c r="L3" s="89">
        <v>0.2</v>
      </c>
    </row>
    <row r="4" ht="22.5" customHeight="1">
      <c r="A4" s="95" t="s">
        <v>65</v>
      </c>
      <c r="B4" s="96" t="s">
        <v>71</v>
      </c>
      <c r="C4" s="96" t="s">
        <v>74</v>
      </c>
      <c r="D4" s="96" t="s">
        <v>15</v>
      </c>
      <c r="E4" s="96" t="s">
        <v>25</v>
      </c>
      <c r="F4" s="100" t="s">
        <v>78</v>
      </c>
      <c r="G4" s="96" t="s">
        <v>79</v>
      </c>
      <c r="H4" s="102" t="s">
        <v>80</v>
      </c>
      <c r="I4" s="102" t="s">
        <v>12</v>
      </c>
      <c r="J4" s="102" t="s">
        <v>13</v>
      </c>
      <c r="K4" s="102" t="s">
        <v>14</v>
      </c>
      <c r="L4" s="102" t="s">
        <v>89</v>
      </c>
      <c r="M4" s="1"/>
      <c r="N4" s="103" t="s">
        <v>15</v>
      </c>
      <c r="O4" s="103" t="s">
        <v>94</v>
      </c>
    </row>
    <row r="5" ht="22.5" customHeight="1">
      <c r="B5" s="104" t="s">
        <v>48</v>
      </c>
      <c r="C5" s="104" t="s">
        <v>97</v>
      </c>
      <c r="D5" s="106" t="s">
        <v>101</v>
      </c>
      <c r="E5" s="112">
        <f t="shared" ref="E5:E123" si="3">ifs(D5=$N$5, $O$5, D5=$N$6, $O$6, D5=$N$7, $O$7, D5=$N$8, $O$8, D5=$N$9, $O$9)</f>
        <v>7000000</v>
      </c>
      <c r="F5" s="112">
        <f>sum(E5:E12)</f>
        <v>51000000</v>
      </c>
      <c r="G5" s="104">
        <v>1.0</v>
      </c>
      <c r="H5" s="113">
        <v>1.0</v>
      </c>
      <c r="I5" s="112">
        <f t="shared" ref="I5:I123" si="4">$I$3*E5</f>
        <v>350000</v>
      </c>
      <c r="J5" s="112">
        <f t="shared" ref="J5:J123" si="5">$J$3*E5</f>
        <v>700000</v>
      </c>
      <c r="K5" s="112">
        <f t="shared" ref="K5:K123" si="6">$K$3*E5</f>
        <v>4550000</v>
      </c>
      <c r="L5" s="112">
        <f t="shared" ref="L5:L123" si="7">$L$3*E5</f>
        <v>1400000</v>
      </c>
      <c r="M5" s="1"/>
      <c r="N5" s="103" t="s">
        <v>125</v>
      </c>
      <c r="O5" s="121">
        <v>5000000.0</v>
      </c>
    </row>
    <row r="6" ht="22.5" customHeight="1">
      <c r="C6" s="104" t="s">
        <v>126</v>
      </c>
      <c r="D6" s="106" t="s">
        <v>101</v>
      </c>
      <c r="E6" s="112">
        <f t="shared" si="3"/>
        <v>7000000</v>
      </c>
      <c r="H6" s="125"/>
      <c r="I6" s="112">
        <f t="shared" si="4"/>
        <v>350000</v>
      </c>
      <c r="J6" s="112">
        <f t="shared" si="5"/>
        <v>700000</v>
      </c>
      <c r="K6" s="112">
        <f t="shared" si="6"/>
        <v>4550000</v>
      </c>
      <c r="L6" s="112">
        <f t="shared" si="7"/>
        <v>1400000</v>
      </c>
      <c r="M6" s="1"/>
      <c r="N6" s="103" t="s">
        <v>101</v>
      </c>
      <c r="O6" s="121">
        <v>7000000.0</v>
      </c>
    </row>
    <row r="7" ht="22.5" customHeight="1">
      <c r="C7" s="104" t="s">
        <v>127</v>
      </c>
      <c r="D7" s="106" t="s">
        <v>101</v>
      </c>
      <c r="E7" s="112">
        <f t="shared" si="3"/>
        <v>7000000</v>
      </c>
      <c r="H7" s="125"/>
      <c r="I7" s="112">
        <f t="shared" si="4"/>
        <v>350000</v>
      </c>
      <c r="J7" s="112">
        <f t="shared" si="5"/>
        <v>700000</v>
      </c>
      <c r="K7" s="112">
        <f t="shared" si="6"/>
        <v>4550000</v>
      </c>
      <c r="L7" s="112">
        <f t="shared" si="7"/>
        <v>1400000</v>
      </c>
      <c r="M7" s="1"/>
      <c r="N7" s="103" t="s">
        <v>128</v>
      </c>
      <c r="O7" s="121">
        <v>3000000.0</v>
      </c>
    </row>
    <row r="8" ht="22.5" customHeight="1">
      <c r="C8" s="104" t="s">
        <v>129</v>
      </c>
      <c r="D8" s="106" t="s">
        <v>101</v>
      </c>
      <c r="E8" s="112">
        <f t="shared" si="3"/>
        <v>7000000</v>
      </c>
      <c r="H8" s="125"/>
      <c r="I8" s="112">
        <f t="shared" si="4"/>
        <v>350000</v>
      </c>
      <c r="J8" s="112">
        <f t="shared" si="5"/>
        <v>700000</v>
      </c>
      <c r="K8" s="112">
        <f t="shared" si="6"/>
        <v>4550000</v>
      </c>
      <c r="L8" s="112">
        <f t="shared" si="7"/>
        <v>1400000</v>
      </c>
      <c r="M8" s="1"/>
      <c r="N8" s="103" t="s">
        <v>130</v>
      </c>
      <c r="O8" s="121">
        <v>3000000.0</v>
      </c>
    </row>
    <row r="9" ht="22.5" customHeight="1">
      <c r="B9" s="104"/>
      <c r="C9" s="104" t="s">
        <v>131</v>
      </c>
      <c r="D9" s="106" t="s">
        <v>125</v>
      </c>
      <c r="E9" s="112">
        <f t="shared" si="3"/>
        <v>5000000</v>
      </c>
      <c r="H9" s="125"/>
      <c r="I9" s="112">
        <f t="shared" si="4"/>
        <v>250000</v>
      </c>
      <c r="J9" s="112">
        <f t="shared" si="5"/>
        <v>500000</v>
      </c>
      <c r="K9" s="112">
        <f t="shared" si="6"/>
        <v>3250000</v>
      </c>
      <c r="L9" s="112">
        <f t="shared" si="7"/>
        <v>1000000</v>
      </c>
      <c r="M9" s="1"/>
      <c r="N9" s="103" t="s">
        <v>132</v>
      </c>
      <c r="O9" s="121">
        <v>1.2E7</v>
      </c>
    </row>
    <row r="10" ht="22.5" customHeight="1">
      <c r="B10" s="104"/>
      <c r="C10" s="104" t="s">
        <v>133</v>
      </c>
      <c r="D10" s="106" t="s">
        <v>128</v>
      </c>
      <c r="E10" s="112">
        <f t="shared" si="3"/>
        <v>3000000</v>
      </c>
      <c r="H10" s="125"/>
      <c r="I10" s="112">
        <f t="shared" si="4"/>
        <v>150000</v>
      </c>
      <c r="J10" s="112">
        <f t="shared" si="5"/>
        <v>300000</v>
      </c>
      <c r="K10" s="112">
        <f t="shared" si="6"/>
        <v>1950000</v>
      </c>
      <c r="L10" s="112">
        <f t="shared" si="7"/>
        <v>600000</v>
      </c>
    </row>
    <row r="11" ht="22.5" customHeight="1">
      <c r="B11" s="104"/>
      <c r="C11" s="104" t="s">
        <v>134</v>
      </c>
      <c r="D11" s="106" t="s">
        <v>130</v>
      </c>
      <c r="E11" s="112">
        <f t="shared" si="3"/>
        <v>3000000</v>
      </c>
      <c r="H11" s="125"/>
      <c r="I11" s="112">
        <f t="shared" si="4"/>
        <v>150000</v>
      </c>
      <c r="J11" s="112">
        <f t="shared" si="5"/>
        <v>300000</v>
      </c>
      <c r="K11" s="112">
        <f t="shared" si="6"/>
        <v>1950000</v>
      </c>
      <c r="L11" s="112">
        <f t="shared" si="7"/>
        <v>600000</v>
      </c>
    </row>
    <row r="12" ht="22.5" customHeight="1">
      <c r="B12" s="104"/>
      <c r="C12" s="104" t="s">
        <v>135</v>
      </c>
      <c r="D12" s="106" t="s">
        <v>132</v>
      </c>
      <c r="E12" s="112">
        <f t="shared" si="3"/>
        <v>12000000</v>
      </c>
      <c r="H12" s="125"/>
      <c r="I12" s="112">
        <f t="shared" si="4"/>
        <v>600000</v>
      </c>
      <c r="J12" s="112">
        <f t="shared" si="5"/>
        <v>1200000</v>
      </c>
      <c r="K12" s="112">
        <f t="shared" si="6"/>
        <v>7800000</v>
      </c>
      <c r="L12" s="112">
        <f t="shared" si="7"/>
        <v>2400000</v>
      </c>
    </row>
    <row r="13" ht="22.5" customHeight="1">
      <c r="B13" s="104" t="s">
        <v>136</v>
      </c>
      <c r="C13" s="104" t="s">
        <v>137</v>
      </c>
      <c r="D13" s="106" t="s">
        <v>125</v>
      </c>
      <c r="E13" s="112">
        <f t="shared" si="3"/>
        <v>5000000</v>
      </c>
      <c r="F13" s="126">
        <f>sum(E13:E23)</f>
        <v>88000000</v>
      </c>
      <c r="G13" s="104">
        <v>1.0</v>
      </c>
      <c r="H13" s="113">
        <v>1.0</v>
      </c>
      <c r="I13" s="112">
        <f t="shared" si="4"/>
        <v>250000</v>
      </c>
      <c r="J13" s="112">
        <f t="shared" si="5"/>
        <v>500000</v>
      </c>
      <c r="K13" s="112">
        <f t="shared" si="6"/>
        <v>3250000</v>
      </c>
      <c r="L13" s="112">
        <f t="shared" si="7"/>
        <v>1000000</v>
      </c>
    </row>
    <row r="14" ht="22.5" customHeight="1">
      <c r="C14" s="104" t="s">
        <v>138</v>
      </c>
      <c r="D14" s="106" t="s">
        <v>125</v>
      </c>
      <c r="E14" s="112">
        <f t="shared" si="3"/>
        <v>5000000</v>
      </c>
      <c r="H14" s="125"/>
      <c r="I14" s="112">
        <f t="shared" si="4"/>
        <v>250000</v>
      </c>
      <c r="J14" s="112">
        <f t="shared" si="5"/>
        <v>500000</v>
      </c>
      <c r="K14" s="112">
        <f t="shared" si="6"/>
        <v>3250000</v>
      </c>
      <c r="L14" s="112">
        <f t="shared" si="7"/>
        <v>1000000</v>
      </c>
    </row>
    <row r="15" ht="22.5" customHeight="1">
      <c r="C15" s="104" t="s">
        <v>139</v>
      </c>
      <c r="D15" s="106" t="s">
        <v>132</v>
      </c>
      <c r="E15" s="112">
        <f t="shared" si="3"/>
        <v>12000000</v>
      </c>
      <c r="H15" s="125"/>
      <c r="I15" s="112">
        <f t="shared" si="4"/>
        <v>600000</v>
      </c>
      <c r="J15" s="112">
        <f t="shared" si="5"/>
        <v>1200000</v>
      </c>
      <c r="K15" s="112">
        <f t="shared" si="6"/>
        <v>7800000</v>
      </c>
      <c r="L15" s="112">
        <f t="shared" si="7"/>
        <v>2400000</v>
      </c>
    </row>
    <row r="16" ht="22.5" customHeight="1">
      <c r="C16" s="104" t="s">
        <v>140</v>
      </c>
      <c r="D16" s="106" t="s">
        <v>132</v>
      </c>
      <c r="E16" s="112">
        <f t="shared" si="3"/>
        <v>12000000</v>
      </c>
      <c r="H16" s="125"/>
      <c r="I16" s="112">
        <f t="shared" si="4"/>
        <v>600000</v>
      </c>
      <c r="J16" s="112">
        <f t="shared" si="5"/>
        <v>1200000</v>
      </c>
      <c r="K16" s="112">
        <f t="shared" si="6"/>
        <v>7800000</v>
      </c>
      <c r="L16" s="112">
        <f t="shared" si="7"/>
        <v>2400000</v>
      </c>
    </row>
    <row r="17" ht="22.5" customHeight="1">
      <c r="C17" s="104" t="s">
        <v>141</v>
      </c>
      <c r="D17" s="106" t="s">
        <v>132</v>
      </c>
      <c r="E17" s="112">
        <f t="shared" si="3"/>
        <v>12000000</v>
      </c>
      <c r="H17" s="125"/>
      <c r="I17" s="112">
        <f t="shared" si="4"/>
        <v>600000</v>
      </c>
      <c r="J17" s="112">
        <f t="shared" si="5"/>
        <v>1200000</v>
      </c>
      <c r="K17" s="112">
        <f t="shared" si="6"/>
        <v>7800000</v>
      </c>
      <c r="L17" s="112">
        <f t="shared" si="7"/>
        <v>2400000</v>
      </c>
    </row>
    <row r="18" ht="22.5" customHeight="1">
      <c r="C18" s="104" t="s">
        <v>142</v>
      </c>
      <c r="D18" s="106" t="s">
        <v>101</v>
      </c>
      <c r="E18" s="112">
        <f t="shared" si="3"/>
        <v>7000000</v>
      </c>
      <c r="H18" s="125"/>
      <c r="I18" s="112">
        <f t="shared" si="4"/>
        <v>350000</v>
      </c>
      <c r="J18" s="112">
        <f t="shared" si="5"/>
        <v>700000</v>
      </c>
      <c r="K18" s="112">
        <f t="shared" si="6"/>
        <v>4550000</v>
      </c>
      <c r="L18" s="112">
        <f t="shared" si="7"/>
        <v>1400000</v>
      </c>
    </row>
    <row r="19" ht="22.5" customHeight="1">
      <c r="B19" s="127"/>
      <c r="C19" s="104" t="s">
        <v>143</v>
      </c>
      <c r="D19" s="106" t="s">
        <v>128</v>
      </c>
      <c r="E19" s="112">
        <f t="shared" si="3"/>
        <v>3000000</v>
      </c>
      <c r="H19" s="125"/>
      <c r="I19" s="112">
        <f t="shared" si="4"/>
        <v>150000</v>
      </c>
      <c r="J19" s="112">
        <f t="shared" si="5"/>
        <v>300000</v>
      </c>
      <c r="K19" s="112">
        <f t="shared" si="6"/>
        <v>1950000</v>
      </c>
      <c r="L19" s="112">
        <f t="shared" si="7"/>
        <v>600000</v>
      </c>
    </row>
    <row r="20" ht="22.5" customHeight="1">
      <c r="B20" s="127"/>
      <c r="C20" s="104" t="s">
        <v>144</v>
      </c>
      <c r="D20" s="106" t="s">
        <v>130</v>
      </c>
      <c r="E20" s="112">
        <f t="shared" si="3"/>
        <v>3000000</v>
      </c>
      <c r="H20" s="125"/>
      <c r="I20" s="112">
        <f t="shared" si="4"/>
        <v>150000</v>
      </c>
      <c r="J20" s="112">
        <f t="shared" si="5"/>
        <v>300000</v>
      </c>
      <c r="K20" s="112">
        <f t="shared" si="6"/>
        <v>1950000</v>
      </c>
      <c r="L20" s="112">
        <f t="shared" si="7"/>
        <v>600000</v>
      </c>
    </row>
    <row r="21" ht="22.5" customHeight="1">
      <c r="B21" s="127"/>
      <c r="C21" s="104" t="s">
        <v>145</v>
      </c>
      <c r="D21" s="106" t="s">
        <v>132</v>
      </c>
      <c r="E21" s="112">
        <f t="shared" si="3"/>
        <v>12000000</v>
      </c>
      <c r="H21" s="125"/>
      <c r="I21" s="112">
        <f t="shared" si="4"/>
        <v>600000</v>
      </c>
      <c r="J21" s="112">
        <f t="shared" si="5"/>
        <v>1200000</v>
      </c>
      <c r="K21" s="112">
        <f t="shared" si="6"/>
        <v>7800000</v>
      </c>
      <c r="L21" s="112">
        <f t="shared" si="7"/>
        <v>2400000</v>
      </c>
    </row>
    <row r="22" ht="22.5" customHeight="1">
      <c r="B22" s="127"/>
      <c r="C22" s="104" t="s">
        <v>146</v>
      </c>
      <c r="D22" s="106" t="s">
        <v>125</v>
      </c>
      <c r="E22" s="112">
        <f t="shared" si="3"/>
        <v>5000000</v>
      </c>
      <c r="H22" s="125"/>
      <c r="I22" s="112">
        <f t="shared" si="4"/>
        <v>250000</v>
      </c>
      <c r="J22" s="112">
        <f t="shared" si="5"/>
        <v>500000</v>
      </c>
      <c r="K22" s="112">
        <f t="shared" si="6"/>
        <v>3250000</v>
      </c>
      <c r="L22" s="112">
        <f t="shared" si="7"/>
        <v>1000000</v>
      </c>
    </row>
    <row r="23" ht="22.5" customHeight="1">
      <c r="B23" s="127"/>
      <c r="C23" s="104" t="s">
        <v>147</v>
      </c>
      <c r="D23" s="106" t="s">
        <v>132</v>
      </c>
      <c r="E23" s="112">
        <f t="shared" si="3"/>
        <v>12000000</v>
      </c>
      <c r="H23" s="125"/>
      <c r="I23" s="112">
        <f t="shared" si="4"/>
        <v>600000</v>
      </c>
      <c r="J23" s="112">
        <f t="shared" si="5"/>
        <v>1200000</v>
      </c>
      <c r="K23" s="112">
        <f t="shared" si="6"/>
        <v>7800000</v>
      </c>
      <c r="L23" s="112">
        <f t="shared" si="7"/>
        <v>2400000</v>
      </c>
    </row>
    <row r="24" ht="22.5" customHeight="1">
      <c r="B24" s="128" t="s">
        <v>148</v>
      </c>
      <c r="C24" s="104" t="s">
        <v>149</v>
      </c>
      <c r="D24" s="106" t="s">
        <v>125</v>
      </c>
      <c r="E24" s="112">
        <f t="shared" si="3"/>
        <v>5000000</v>
      </c>
      <c r="F24" s="126">
        <f>sum(E24:E34)</f>
        <v>99000000</v>
      </c>
      <c r="G24" s="104">
        <v>1.0</v>
      </c>
      <c r="H24" s="113">
        <v>1.0</v>
      </c>
      <c r="I24" s="112">
        <f t="shared" si="4"/>
        <v>250000</v>
      </c>
      <c r="J24" s="112">
        <f t="shared" si="5"/>
        <v>500000</v>
      </c>
      <c r="K24" s="112">
        <f t="shared" si="6"/>
        <v>3250000</v>
      </c>
      <c r="L24" s="112">
        <f t="shared" si="7"/>
        <v>1000000</v>
      </c>
    </row>
    <row r="25" ht="22.5" customHeight="1">
      <c r="C25" s="104" t="s">
        <v>150</v>
      </c>
      <c r="D25" s="106" t="s">
        <v>132</v>
      </c>
      <c r="E25" s="112">
        <f t="shared" si="3"/>
        <v>12000000</v>
      </c>
      <c r="H25" s="125"/>
      <c r="I25" s="112">
        <f t="shared" si="4"/>
        <v>600000</v>
      </c>
      <c r="J25" s="112">
        <f t="shared" si="5"/>
        <v>1200000</v>
      </c>
      <c r="K25" s="112">
        <f t="shared" si="6"/>
        <v>7800000</v>
      </c>
      <c r="L25" s="112">
        <f t="shared" si="7"/>
        <v>2400000</v>
      </c>
    </row>
    <row r="26" ht="22.5" customHeight="1">
      <c r="C26" s="104" t="s">
        <v>151</v>
      </c>
      <c r="D26" s="106" t="s">
        <v>101</v>
      </c>
      <c r="E26" s="112">
        <f t="shared" si="3"/>
        <v>7000000</v>
      </c>
      <c r="H26" s="125"/>
      <c r="I26" s="112">
        <f t="shared" si="4"/>
        <v>350000</v>
      </c>
      <c r="J26" s="112">
        <f t="shared" si="5"/>
        <v>700000</v>
      </c>
      <c r="K26" s="112">
        <f t="shared" si="6"/>
        <v>4550000</v>
      </c>
      <c r="L26" s="112">
        <f t="shared" si="7"/>
        <v>1400000</v>
      </c>
    </row>
    <row r="27" ht="22.5" customHeight="1">
      <c r="C27" s="104" t="s">
        <v>152</v>
      </c>
      <c r="D27" s="106" t="s">
        <v>101</v>
      </c>
      <c r="E27" s="112">
        <f t="shared" si="3"/>
        <v>7000000</v>
      </c>
      <c r="H27" s="125"/>
      <c r="I27" s="112">
        <f t="shared" si="4"/>
        <v>350000</v>
      </c>
      <c r="J27" s="112">
        <f t="shared" si="5"/>
        <v>700000</v>
      </c>
      <c r="K27" s="112">
        <f t="shared" si="6"/>
        <v>4550000</v>
      </c>
      <c r="L27" s="112">
        <f t="shared" si="7"/>
        <v>1400000</v>
      </c>
    </row>
    <row r="28" ht="22.5" customHeight="1">
      <c r="C28" s="104" t="s">
        <v>153</v>
      </c>
      <c r="D28" s="106" t="s">
        <v>125</v>
      </c>
      <c r="E28" s="112">
        <f t="shared" si="3"/>
        <v>5000000</v>
      </c>
      <c r="H28" s="125"/>
      <c r="I28" s="112">
        <f t="shared" si="4"/>
        <v>250000</v>
      </c>
      <c r="J28" s="112">
        <f t="shared" si="5"/>
        <v>500000</v>
      </c>
      <c r="K28" s="112">
        <f t="shared" si="6"/>
        <v>3250000</v>
      </c>
      <c r="L28" s="112">
        <f t="shared" si="7"/>
        <v>1000000</v>
      </c>
    </row>
    <row r="29" ht="22.5" customHeight="1">
      <c r="C29" s="104" t="s">
        <v>154</v>
      </c>
      <c r="D29" s="106" t="s">
        <v>132</v>
      </c>
      <c r="E29" s="112">
        <f t="shared" si="3"/>
        <v>12000000</v>
      </c>
      <c r="H29" s="125"/>
      <c r="I29" s="112">
        <f t="shared" si="4"/>
        <v>600000</v>
      </c>
      <c r="J29" s="112">
        <f t="shared" si="5"/>
        <v>1200000</v>
      </c>
      <c r="K29" s="112">
        <f t="shared" si="6"/>
        <v>7800000</v>
      </c>
      <c r="L29" s="112">
        <f t="shared" si="7"/>
        <v>2400000</v>
      </c>
    </row>
    <row r="30" ht="22.5" customHeight="1">
      <c r="C30" s="104" t="s">
        <v>155</v>
      </c>
      <c r="D30" s="106" t="s">
        <v>132</v>
      </c>
      <c r="E30" s="112">
        <f t="shared" si="3"/>
        <v>12000000</v>
      </c>
      <c r="H30" s="125"/>
      <c r="I30" s="112">
        <f t="shared" si="4"/>
        <v>600000</v>
      </c>
      <c r="J30" s="112">
        <f t="shared" si="5"/>
        <v>1200000</v>
      </c>
      <c r="K30" s="112">
        <f t="shared" si="6"/>
        <v>7800000</v>
      </c>
      <c r="L30" s="112">
        <f t="shared" si="7"/>
        <v>2400000</v>
      </c>
    </row>
    <row r="31" ht="22.5" customHeight="1">
      <c r="C31" s="104" t="s">
        <v>156</v>
      </c>
      <c r="D31" s="106" t="s">
        <v>132</v>
      </c>
      <c r="E31" s="112">
        <f t="shared" si="3"/>
        <v>12000000</v>
      </c>
      <c r="H31" s="125"/>
      <c r="I31" s="112">
        <f t="shared" si="4"/>
        <v>600000</v>
      </c>
      <c r="J31" s="112">
        <f t="shared" si="5"/>
        <v>1200000</v>
      </c>
      <c r="K31" s="112">
        <f t="shared" si="6"/>
        <v>7800000</v>
      </c>
      <c r="L31" s="112">
        <f t="shared" si="7"/>
        <v>2400000</v>
      </c>
    </row>
    <row r="32" ht="22.5" customHeight="1">
      <c r="C32" s="104" t="s">
        <v>157</v>
      </c>
      <c r="D32" s="106" t="s">
        <v>132</v>
      </c>
      <c r="E32" s="112">
        <f t="shared" si="3"/>
        <v>12000000</v>
      </c>
      <c r="H32" s="125"/>
      <c r="I32" s="112">
        <f t="shared" si="4"/>
        <v>600000</v>
      </c>
      <c r="J32" s="112">
        <f t="shared" si="5"/>
        <v>1200000</v>
      </c>
      <c r="K32" s="112">
        <f t="shared" si="6"/>
        <v>7800000</v>
      </c>
      <c r="L32" s="112">
        <f t="shared" si="7"/>
        <v>2400000</v>
      </c>
    </row>
    <row r="33" ht="22.5" customHeight="1">
      <c r="B33" s="127"/>
      <c r="C33" s="104" t="s">
        <v>158</v>
      </c>
      <c r="D33" s="106" t="s">
        <v>128</v>
      </c>
      <c r="E33" s="112">
        <f t="shared" si="3"/>
        <v>3000000</v>
      </c>
      <c r="H33" s="125"/>
      <c r="I33" s="112">
        <f t="shared" si="4"/>
        <v>150000</v>
      </c>
      <c r="J33" s="112">
        <f t="shared" si="5"/>
        <v>300000</v>
      </c>
      <c r="K33" s="112">
        <f t="shared" si="6"/>
        <v>1950000</v>
      </c>
      <c r="L33" s="112">
        <f t="shared" si="7"/>
        <v>600000</v>
      </c>
    </row>
    <row r="34" ht="22.5" customHeight="1">
      <c r="B34" s="127"/>
      <c r="C34" s="104" t="s">
        <v>159</v>
      </c>
      <c r="D34" s="106" t="s">
        <v>132</v>
      </c>
      <c r="E34" s="112">
        <f t="shared" si="3"/>
        <v>12000000</v>
      </c>
      <c r="H34" s="125"/>
      <c r="I34" s="112">
        <f t="shared" si="4"/>
        <v>600000</v>
      </c>
      <c r="J34" s="112">
        <f t="shared" si="5"/>
        <v>1200000</v>
      </c>
      <c r="K34" s="112">
        <f t="shared" si="6"/>
        <v>7800000</v>
      </c>
      <c r="L34" s="112">
        <f t="shared" si="7"/>
        <v>2400000</v>
      </c>
    </row>
    <row r="35" ht="22.5" customHeight="1">
      <c r="B35" s="128" t="s">
        <v>160</v>
      </c>
      <c r="C35" s="104" t="s">
        <v>161</v>
      </c>
      <c r="D35" s="106" t="s">
        <v>125</v>
      </c>
      <c r="E35" s="112">
        <f t="shared" si="3"/>
        <v>5000000</v>
      </c>
      <c r="F35" s="126">
        <f>sum(E35:E47)</f>
        <v>101000000</v>
      </c>
      <c r="G35" s="104">
        <v>1.0</v>
      </c>
      <c r="H35" s="113">
        <v>1.0</v>
      </c>
      <c r="I35" s="112">
        <f t="shared" si="4"/>
        <v>250000</v>
      </c>
      <c r="J35" s="112">
        <f t="shared" si="5"/>
        <v>500000</v>
      </c>
      <c r="K35" s="112">
        <f t="shared" si="6"/>
        <v>3250000</v>
      </c>
      <c r="L35" s="112">
        <f t="shared" si="7"/>
        <v>1000000</v>
      </c>
    </row>
    <row r="36" ht="22.5" customHeight="1">
      <c r="C36" s="104" t="s">
        <v>162</v>
      </c>
      <c r="D36" s="106" t="s">
        <v>101</v>
      </c>
      <c r="E36" s="112">
        <f t="shared" si="3"/>
        <v>7000000</v>
      </c>
      <c r="H36" s="125"/>
      <c r="I36" s="112">
        <f t="shared" si="4"/>
        <v>350000</v>
      </c>
      <c r="J36" s="112">
        <f t="shared" si="5"/>
        <v>700000</v>
      </c>
      <c r="K36" s="112">
        <f t="shared" si="6"/>
        <v>4550000</v>
      </c>
      <c r="L36" s="112">
        <f t="shared" si="7"/>
        <v>1400000</v>
      </c>
    </row>
    <row r="37" ht="22.5" customHeight="1">
      <c r="C37" s="104" t="s">
        <v>163</v>
      </c>
      <c r="D37" s="106" t="s">
        <v>132</v>
      </c>
      <c r="E37" s="112">
        <f t="shared" si="3"/>
        <v>12000000</v>
      </c>
      <c r="H37" s="125"/>
      <c r="I37" s="112">
        <f t="shared" si="4"/>
        <v>600000</v>
      </c>
      <c r="J37" s="112">
        <f t="shared" si="5"/>
        <v>1200000</v>
      </c>
      <c r="K37" s="112">
        <f t="shared" si="6"/>
        <v>7800000</v>
      </c>
      <c r="L37" s="112">
        <f t="shared" si="7"/>
        <v>2400000</v>
      </c>
    </row>
    <row r="38" ht="22.5" customHeight="1">
      <c r="C38" s="104" t="s">
        <v>164</v>
      </c>
      <c r="D38" s="106" t="s">
        <v>101</v>
      </c>
      <c r="E38" s="112">
        <f t="shared" si="3"/>
        <v>7000000</v>
      </c>
      <c r="H38" s="125"/>
      <c r="I38" s="112">
        <f t="shared" si="4"/>
        <v>350000</v>
      </c>
      <c r="J38" s="112">
        <f t="shared" si="5"/>
        <v>700000</v>
      </c>
      <c r="K38" s="112">
        <f t="shared" si="6"/>
        <v>4550000</v>
      </c>
      <c r="L38" s="112">
        <f t="shared" si="7"/>
        <v>1400000</v>
      </c>
    </row>
    <row r="39" ht="22.5" customHeight="1">
      <c r="C39" s="104" t="s">
        <v>165</v>
      </c>
      <c r="D39" s="106" t="s">
        <v>132</v>
      </c>
      <c r="E39" s="112">
        <f t="shared" si="3"/>
        <v>12000000</v>
      </c>
      <c r="H39" s="125"/>
      <c r="I39" s="112">
        <f t="shared" si="4"/>
        <v>600000</v>
      </c>
      <c r="J39" s="112">
        <f t="shared" si="5"/>
        <v>1200000</v>
      </c>
      <c r="K39" s="112">
        <f t="shared" si="6"/>
        <v>7800000</v>
      </c>
      <c r="L39" s="112">
        <f t="shared" si="7"/>
        <v>2400000</v>
      </c>
    </row>
    <row r="40" ht="22.5" customHeight="1">
      <c r="C40" s="104" t="s">
        <v>166</v>
      </c>
      <c r="D40" s="106" t="s">
        <v>132</v>
      </c>
      <c r="E40" s="112">
        <f t="shared" si="3"/>
        <v>12000000</v>
      </c>
      <c r="H40" s="125"/>
      <c r="I40" s="112">
        <f t="shared" si="4"/>
        <v>600000</v>
      </c>
      <c r="J40" s="112">
        <f t="shared" si="5"/>
        <v>1200000</v>
      </c>
      <c r="K40" s="112">
        <f t="shared" si="6"/>
        <v>7800000</v>
      </c>
      <c r="L40" s="112">
        <f t="shared" si="7"/>
        <v>2400000</v>
      </c>
    </row>
    <row r="41" ht="22.5" customHeight="1">
      <c r="C41" s="104" t="s">
        <v>167</v>
      </c>
      <c r="D41" s="106" t="s">
        <v>125</v>
      </c>
      <c r="E41" s="112">
        <f t="shared" si="3"/>
        <v>5000000</v>
      </c>
      <c r="H41" s="125"/>
      <c r="I41" s="112">
        <f t="shared" si="4"/>
        <v>250000</v>
      </c>
      <c r="J41" s="112">
        <f t="shared" si="5"/>
        <v>500000</v>
      </c>
      <c r="K41" s="112">
        <f t="shared" si="6"/>
        <v>3250000</v>
      </c>
      <c r="L41" s="112">
        <f t="shared" si="7"/>
        <v>1000000</v>
      </c>
    </row>
    <row r="42" ht="22.5" customHeight="1">
      <c r="C42" s="104" t="s">
        <v>168</v>
      </c>
      <c r="D42" s="106" t="s">
        <v>132</v>
      </c>
      <c r="E42" s="112">
        <f t="shared" si="3"/>
        <v>12000000</v>
      </c>
      <c r="H42" s="125"/>
      <c r="I42" s="112">
        <f t="shared" si="4"/>
        <v>600000</v>
      </c>
      <c r="J42" s="112">
        <f t="shared" si="5"/>
        <v>1200000</v>
      </c>
      <c r="K42" s="112">
        <f t="shared" si="6"/>
        <v>7800000</v>
      </c>
      <c r="L42" s="112">
        <f t="shared" si="7"/>
        <v>2400000</v>
      </c>
    </row>
    <row r="43" ht="22.5" customHeight="1">
      <c r="C43" s="104" t="s">
        <v>169</v>
      </c>
      <c r="D43" s="106" t="s">
        <v>101</v>
      </c>
      <c r="E43" s="112">
        <f t="shared" si="3"/>
        <v>7000000</v>
      </c>
      <c r="H43" s="125"/>
      <c r="I43" s="112">
        <f t="shared" si="4"/>
        <v>350000</v>
      </c>
      <c r="J43" s="112">
        <f t="shared" si="5"/>
        <v>700000</v>
      </c>
      <c r="K43" s="112">
        <f t="shared" si="6"/>
        <v>4550000</v>
      </c>
      <c r="L43" s="112">
        <f t="shared" si="7"/>
        <v>1400000</v>
      </c>
    </row>
    <row r="44" ht="22.5" customHeight="1">
      <c r="C44" s="104" t="s">
        <v>170</v>
      </c>
      <c r="D44" s="106" t="s">
        <v>125</v>
      </c>
      <c r="E44" s="112">
        <f t="shared" si="3"/>
        <v>5000000</v>
      </c>
      <c r="H44" s="125"/>
      <c r="I44" s="112">
        <f t="shared" si="4"/>
        <v>250000</v>
      </c>
      <c r="J44" s="112">
        <f t="shared" si="5"/>
        <v>500000</v>
      </c>
      <c r="K44" s="112">
        <f t="shared" si="6"/>
        <v>3250000</v>
      </c>
      <c r="L44" s="112">
        <f t="shared" si="7"/>
        <v>1000000</v>
      </c>
    </row>
    <row r="45" ht="22.5" customHeight="1">
      <c r="C45" s="104" t="s">
        <v>171</v>
      </c>
      <c r="D45" s="106" t="s">
        <v>101</v>
      </c>
      <c r="E45" s="112">
        <f t="shared" si="3"/>
        <v>7000000</v>
      </c>
      <c r="H45" s="125"/>
      <c r="I45" s="112">
        <f t="shared" si="4"/>
        <v>350000</v>
      </c>
      <c r="J45" s="112">
        <f t="shared" si="5"/>
        <v>700000</v>
      </c>
      <c r="K45" s="112">
        <f t="shared" si="6"/>
        <v>4550000</v>
      </c>
      <c r="L45" s="112">
        <f t="shared" si="7"/>
        <v>1400000</v>
      </c>
    </row>
    <row r="46" ht="22.5" customHeight="1">
      <c r="B46" s="104"/>
      <c r="C46" s="104" t="s">
        <v>172</v>
      </c>
      <c r="D46" s="106" t="s">
        <v>128</v>
      </c>
      <c r="E46" s="112">
        <f t="shared" si="3"/>
        <v>3000000</v>
      </c>
      <c r="H46" s="125"/>
      <c r="I46" s="112">
        <f t="shared" si="4"/>
        <v>150000</v>
      </c>
      <c r="J46" s="112">
        <f t="shared" si="5"/>
        <v>300000</v>
      </c>
      <c r="K46" s="112">
        <f t="shared" si="6"/>
        <v>1950000</v>
      </c>
      <c r="L46" s="112">
        <f t="shared" si="7"/>
        <v>600000</v>
      </c>
    </row>
    <row r="47" ht="22.5" customHeight="1">
      <c r="B47" s="104"/>
      <c r="C47" s="104" t="s">
        <v>173</v>
      </c>
      <c r="D47" s="106" t="s">
        <v>101</v>
      </c>
      <c r="E47" s="112">
        <f t="shared" si="3"/>
        <v>7000000</v>
      </c>
      <c r="H47" s="125"/>
      <c r="I47" s="112">
        <f t="shared" si="4"/>
        <v>350000</v>
      </c>
      <c r="J47" s="112">
        <f t="shared" si="5"/>
        <v>700000</v>
      </c>
      <c r="K47" s="112">
        <f t="shared" si="6"/>
        <v>4550000</v>
      </c>
      <c r="L47" s="112">
        <f t="shared" si="7"/>
        <v>1400000</v>
      </c>
    </row>
    <row r="48" ht="22.5" customHeight="1">
      <c r="B48" s="104" t="s">
        <v>174</v>
      </c>
      <c r="C48" s="104" t="s">
        <v>175</v>
      </c>
      <c r="D48" s="106" t="s">
        <v>125</v>
      </c>
      <c r="E48" s="112">
        <f t="shared" si="3"/>
        <v>5000000</v>
      </c>
      <c r="F48" s="126">
        <f>sum(E48:E52)</f>
        <v>43000000</v>
      </c>
      <c r="G48" s="104">
        <v>1.0</v>
      </c>
      <c r="H48" s="113">
        <v>1.0</v>
      </c>
      <c r="I48" s="112">
        <f t="shared" si="4"/>
        <v>250000</v>
      </c>
      <c r="J48" s="112">
        <f t="shared" si="5"/>
        <v>500000</v>
      </c>
      <c r="K48" s="112">
        <f t="shared" si="6"/>
        <v>3250000</v>
      </c>
      <c r="L48" s="112">
        <f t="shared" si="7"/>
        <v>1000000</v>
      </c>
    </row>
    <row r="49" ht="22.5" customHeight="1">
      <c r="B49" s="127"/>
      <c r="C49" s="104" t="s">
        <v>176</v>
      </c>
      <c r="D49" s="106" t="s">
        <v>132</v>
      </c>
      <c r="E49" s="112">
        <f t="shared" si="3"/>
        <v>12000000</v>
      </c>
      <c r="H49" s="125"/>
      <c r="I49" s="112">
        <f t="shared" si="4"/>
        <v>600000</v>
      </c>
      <c r="J49" s="112">
        <f t="shared" si="5"/>
        <v>1200000</v>
      </c>
      <c r="K49" s="112">
        <f t="shared" si="6"/>
        <v>7800000</v>
      </c>
      <c r="L49" s="112">
        <f t="shared" si="7"/>
        <v>2400000</v>
      </c>
    </row>
    <row r="50" ht="22.5" customHeight="1">
      <c r="B50" s="127"/>
      <c r="C50" s="104" t="s">
        <v>177</v>
      </c>
      <c r="D50" s="106" t="s">
        <v>101</v>
      </c>
      <c r="E50" s="112">
        <f t="shared" si="3"/>
        <v>7000000</v>
      </c>
      <c r="H50" s="125"/>
      <c r="I50" s="112">
        <f t="shared" si="4"/>
        <v>350000</v>
      </c>
      <c r="J50" s="112">
        <f t="shared" si="5"/>
        <v>700000</v>
      </c>
      <c r="K50" s="112">
        <f t="shared" si="6"/>
        <v>4550000</v>
      </c>
      <c r="L50" s="112">
        <f t="shared" si="7"/>
        <v>1400000</v>
      </c>
    </row>
    <row r="51" ht="22.5" customHeight="1">
      <c r="B51" s="127"/>
      <c r="C51" s="104" t="s">
        <v>178</v>
      </c>
      <c r="D51" s="106" t="s">
        <v>101</v>
      </c>
      <c r="E51" s="112">
        <f t="shared" si="3"/>
        <v>7000000</v>
      </c>
      <c r="H51" s="125"/>
      <c r="I51" s="112">
        <f t="shared" si="4"/>
        <v>350000</v>
      </c>
      <c r="J51" s="112">
        <f t="shared" si="5"/>
        <v>700000</v>
      </c>
      <c r="K51" s="112">
        <f t="shared" si="6"/>
        <v>4550000</v>
      </c>
      <c r="L51" s="112">
        <f t="shared" si="7"/>
        <v>1400000</v>
      </c>
    </row>
    <row r="52" ht="22.5" customHeight="1">
      <c r="B52" s="127"/>
      <c r="C52" s="104" t="s">
        <v>179</v>
      </c>
      <c r="D52" s="106" t="s">
        <v>132</v>
      </c>
      <c r="E52" s="112">
        <f t="shared" si="3"/>
        <v>12000000</v>
      </c>
      <c r="H52" s="125"/>
      <c r="I52" s="112">
        <f t="shared" si="4"/>
        <v>600000</v>
      </c>
      <c r="J52" s="112">
        <f t="shared" si="5"/>
        <v>1200000</v>
      </c>
      <c r="K52" s="112">
        <f t="shared" si="6"/>
        <v>7800000</v>
      </c>
      <c r="L52" s="112">
        <f t="shared" si="7"/>
        <v>2400000</v>
      </c>
    </row>
    <row r="53" ht="22.5" customHeight="1">
      <c r="B53" s="127" t="s">
        <v>180</v>
      </c>
      <c r="C53" s="104" t="s">
        <v>181</v>
      </c>
      <c r="D53" s="106" t="s">
        <v>125</v>
      </c>
      <c r="E53" s="112">
        <f t="shared" si="3"/>
        <v>5000000</v>
      </c>
      <c r="F53" s="126">
        <f>sum(E53:E73)</f>
        <v>187000000</v>
      </c>
      <c r="G53" s="104">
        <v>0.0</v>
      </c>
      <c r="H53" s="129"/>
      <c r="I53" s="112">
        <f t="shared" si="4"/>
        <v>250000</v>
      </c>
      <c r="J53" s="112">
        <f t="shared" si="5"/>
        <v>500000</v>
      </c>
      <c r="K53" s="112">
        <f t="shared" si="6"/>
        <v>3250000</v>
      </c>
      <c r="L53" s="112">
        <f t="shared" si="7"/>
        <v>1000000</v>
      </c>
    </row>
    <row r="54" ht="22.5" customHeight="1">
      <c r="B54" s="127"/>
      <c r="C54" s="104" t="s">
        <v>182</v>
      </c>
      <c r="D54" s="106" t="s">
        <v>125</v>
      </c>
      <c r="E54" s="112">
        <f t="shared" si="3"/>
        <v>5000000</v>
      </c>
      <c r="H54" s="125"/>
      <c r="I54" s="112">
        <f t="shared" si="4"/>
        <v>250000</v>
      </c>
      <c r="J54" s="112">
        <f t="shared" si="5"/>
        <v>500000</v>
      </c>
      <c r="K54" s="112">
        <f t="shared" si="6"/>
        <v>3250000</v>
      </c>
      <c r="L54" s="112">
        <f t="shared" si="7"/>
        <v>1000000</v>
      </c>
    </row>
    <row r="55" ht="22.5" customHeight="1">
      <c r="B55" s="127"/>
      <c r="C55" s="104" t="s">
        <v>183</v>
      </c>
      <c r="D55" s="106" t="s">
        <v>132</v>
      </c>
      <c r="E55" s="112">
        <f t="shared" si="3"/>
        <v>12000000</v>
      </c>
      <c r="H55" s="125"/>
      <c r="I55" s="112">
        <f t="shared" si="4"/>
        <v>600000</v>
      </c>
      <c r="J55" s="112">
        <f t="shared" si="5"/>
        <v>1200000</v>
      </c>
      <c r="K55" s="112">
        <f t="shared" si="6"/>
        <v>7800000</v>
      </c>
      <c r="L55" s="112">
        <f t="shared" si="7"/>
        <v>2400000</v>
      </c>
    </row>
    <row r="56" ht="22.5" customHeight="1">
      <c r="B56" s="127"/>
      <c r="C56" s="104" t="s">
        <v>184</v>
      </c>
      <c r="D56" s="106" t="s">
        <v>101</v>
      </c>
      <c r="E56" s="112">
        <f t="shared" si="3"/>
        <v>7000000</v>
      </c>
      <c r="H56" s="125"/>
      <c r="I56" s="112">
        <f t="shared" si="4"/>
        <v>350000</v>
      </c>
      <c r="J56" s="112">
        <f t="shared" si="5"/>
        <v>700000</v>
      </c>
      <c r="K56" s="112">
        <f t="shared" si="6"/>
        <v>4550000</v>
      </c>
      <c r="L56" s="112">
        <f t="shared" si="7"/>
        <v>1400000</v>
      </c>
    </row>
    <row r="57" ht="22.5" customHeight="1">
      <c r="B57" s="127"/>
      <c r="C57" s="104" t="s">
        <v>185</v>
      </c>
      <c r="D57" s="106" t="s">
        <v>132</v>
      </c>
      <c r="E57" s="112">
        <f t="shared" si="3"/>
        <v>12000000</v>
      </c>
      <c r="H57" s="125"/>
      <c r="I57" s="112">
        <f t="shared" si="4"/>
        <v>600000</v>
      </c>
      <c r="J57" s="112">
        <f t="shared" si="5"/>
        <v>1200000</v>
      </c>
      <c r="K57" s="112">
        <f t="shared" si="6"/>
        <v>7800000</v>
      </c>
      <c r="L57" s="112">
        <f t="shared" si="7"/>
        <v>2400000</v>
      </c>
    </row>
    <row r="58" ht="22.5" customHeight="1">
      <c r="B58" s="127"/>
      <c r="C58" s="104" t="s">
        <v>186</v>
      </c>
      <c r="D58" s="106" t="s">
        <v>132</v>
      </c>
      <c r="E58" s="112">
        <f t="shared" si="3"/>
        <v>12000000</v>
      </c>
      <c r="H58" s="125"/>
      <c r="I58" s="112">
        <f t="shared" si="4"/>
        <v>600000</v>
      </c>
      <c r="J58" s="112">
        <f t="shared" si="5"/>
        <v>1200000</v>
      </c>
      <c r="K58" s="112">
        <f t="shared" si="6"/>
        <v>7800000</v>
      </c>
      <c r="L58" s="112">
        <f t="shared" si="7"/>
        <v>2400000</v>
      </c>
    </row>
    <row r="59" ht="22.5" customHeight="1">
      <c r="C59" s="104" t="s">
        <v>187</v>
      </c>
      <c r="D59" s="106" t="s">
        <v>132</v>
      </c>
      <c r="E59" s="112">
        <f t="shared" si="3"/>
        <v>12000000</v>
      </c>
      <c r="H59" s="125"/>
      <c r="I59" s="112">
        <f t="shared" si="4"/>
        <v>600000</v>
      </c>
      <c r="J59" s="112">
        <f t="shared" si="5"/>
        <v>1200000</v>
      </c>
      <c r="K59" s="112">
        <f t="shared" si="6"/>
        <v>7800000</v>
      </c>
      <c r="L59" s="112">
        <f t="shared" si="7"/>
        <v>2400000</v>
      </c>
    </row>
    <row r="60" ht="22.5" customHeight="1">
      <c r="B60" s="127"/>
      <c r="C60" s="104" t="s">
        <v>188</v>
      </c>
      <c r="D60" s="106" t="s">
        <v>132</v>
      </c>
      <c r="E60" s="112">
        <f t="shared" si="3"/>
        <v>12000000</v>
      </c>
      <c r="H60" s="125"/>
      <c r="I60" s="112">
        <f t="shared" si="4"/>
        <v>600000</v>
      </c>
      <c r="J60" s="112">
        <f t="shared" si="5"/>
        <v>1200000</v>
      </c>
      <c r="K60" s="112">
        <f t="shared" si="6"/>
        <v>7800000</v>
      </c>
      <c r="L60" s="112">
        <f t="shared" si="7"/>
        <v>2400000</v>
      </c>
    </row>
    <row r="61" ht="22.5" customHeight="1">
      <c r="B61" s="127"/>
      <c r="C61" s="104" t="s">
        <v>189</v>
      </c>
      <c r="D61" s="106" t="s">
        <v>132</v>
      </c>
      <c r="E61" s="112">
        <f t="shared" si="3"/>
        <v>12000000</v>
      </c>
      <c r="H61" s="125"/>
      <c r="I61" s="112">
        <f t="shared" si="4"/>
        <v>600000</v>
      </c>
      <c r="J61" s="112">
        <f t="shared" si="5"/>
        <v>1200000</v>
      </c>
      <c r="K61" s="112">
        <f t="shared" si="6"/>
        <v>7800000</v>
      </c>
      <c r="L61" s="112">
        <f t="shared" si="7"/>
        <v>2400000</v>
      </c>
    </row>
    <row r="62" ht="22.5" customHeight="1">
      <c r="B62" s="127"/>
      <c r="C62" s="104" t="s">
        <v>190</v>
      </c>
      <c r="D62" s="106" t="s">
        <v>125</v>
      </c>
      <c r="E62" s="112">
        <f t="shared" si="3"/>
        <v>5000000</v>
      </c>
      <c r="F62" s="104"/>
      <c r="H62" s="125"/>
      <c r="I62" s="112">
        <f t="shared" si="4"/>
        <v>250000</v>
      </c>
      <c r="J62" s="112">
        <f t="shared" si="5"/>
        <v>500000</v>
      </c>
      <c r="K62" s="112">
        <f t="shared" si="6"/>
        <v>3250000</v>
      </c>
      <c r="L62" s="112">
        <f t="shared" si="7"/>
        <v>1000000</v>
      </c>
    </row>
    <row r="63" ht="22.5" customHeight="1">
      <c r="B63" s="127"/>
      <c r="C63" s="104" t="s">
        <v>191</v>
      </c>
      <c r="D63" s="106" t="s">
        <v>132</v>
      </c>
      <c r="E63" s="112">
        <f t="shared" si="3"/>
        <v>12000000</v>
      </c>
      <c r="H63" s="125"/>
      <c r="I63" s="112">
        <f t="shared" si="4"/>
        <v>600000</v>
      </c>
      <c r="J63" s="112">
        <f t="shared" si="5"/>
        <v>1200000</v>
      </c>
      <c r="K63" s="112">
        <f t="shared" si="6"/>
        <v>7800000</v>
      </c>
      <c r="L63" s="112">
        <f t="shared" si="7"/>
        <v>2400000</v>
      </c>
    </row>
    <row r="64" ht="22.5" customHeight="1">
      <c r="C64" s="104" t="s">
        <v>192</v>
      </c>
      <c r="D64" s="106" t="s">
        <v>101</v>
      </c>
      <c r="E64" s="112">
        <f t="shared" si="3"/>
        <v>7000000</v>
      </c>
      <c r="H64" s="125"/>
      <c r="I64" s="112">
        <f t="shared" si="4"/>
        <v>350000</v>
      </c>
      <c r="J64" s="112">
        <f t="shared" si="5"/>
        <v>700000</v>
      </c>
      <c r="K64" s="112">
        <f t="shared" si="6"/>
        <v>4550000</v>
      </c>
      <c r="L64" s="112">
        <f t="shared" si="7"/>
        <v>1400000</v>
      </c>
    </row>
    <row r="65" ht="22.5" customHeight="1">
      <c r="C65" s="104" t="s">
        <v>193</v>
      </c>
      <c r="D65" s="106" t="s">
        <v>132</v>
      </c>
      <c r="E65" s="112">
        <f t="shared" si="3"/>
        <v>12000000</v>
      </c>
      <c r="H65" s="125"/>
      <c r="I65" s="112">
        <f t="shared" si="4"/>
        <v>600000</v>
      </c>
      <c r="J65" s="112">
        <f t="shared" si="5"/>
        <v>1200000</v>
      </c>
      <c r="K65" s="112">
        <f t="shared" si="6"/>
        <v>7800000</v>
      </c>
      <c r="L65" s="112">
        <f t="shared" si="7"/>
        <v>2400000</v>
      </c>
    </row>
    <row r="66" ht="22.5" customHeight="1">
      <c r="C66" s="104" t="s">
        <v>194</v>
      </c>
      <c r="D66" s="106" t="s">
        <v>132</v>
      </c>
      <c r="E66" s="112">
        <f t="shared" si="3"/>
        <v>12000000</v>
      </c>
      <c r="H66" s="125"/>
      <c r="I66" s="112">
        <f t="shared" si="4"/>
        <v>600000</v>
      </c>
      <c r="J66" s="112">
        <f t="shared" si="5"/>
        <v>1200000</v>
      </c>
      <c r="K66" s="112">
        <f t="shared" si="6"/>
        <v>7800000</v>
      </c>
      <c r="L66" s="112">
        <f t="shared" si="7"/>
        <v>2400000</v>
      </c>
    </row>
    <row r="67" ht="22.5" customHeight="1">
      <c r="C67" s="104" t="s">
        <v>195</v>
      </c>
      <c r="D67" s="106" t="s">
        <v>101</v>
      </c>
      <c r="E67" s="112">
        <f t="shared" si="3"/>
        <v>7000000</v>
      </c>
      <c r="H67" s="125"/>
      <c r="I67" s="112">
        <f t="shared" si="4"/>
        <v>350000</v>
      </c>
      <c r="J67" s="112">
        <f t="shared" si="5"/>
        <v>700000</v>
      </c>
      <c r="K67" s="112">
        <f t="shared" si="6"/>
        <v>4550000</v>
      </c>
      <c r="L67" s="112">
        <f t="shared" si="7"/>
        <v>1400000</v>
      </c>
    </row>
    <row r="68" ht="22.5" customHeight="1">
      <c r="C68" s="104" t="s">
        <v>196</v>
      </c>
      <c r="D68" s="106" t="s">
        <v>125</v>
      </c>
      <c r="E68" s="112">
        <f t="shared" si="3"/>
        <v>5000000</v>
      </c>
      <c r="H68" s="125"/>
      <c r="I68" s="112">
        <f t="shared" si="4"/>
        <v>250000</v>
      </c>
      <c r="J68" s="112">
        <f t="shared" si="5"/>
        <v>500000</v>
      </c>
      <c r="K68" s="112">
        <f t="shared" si="6"/>
        <v>3250000</v>
      </c>
      <c r="L68" s="112">
        <f t="shared" si="7"/>
        <v>1000000</v>
      </c>
    </row>
    <row r="69" ht="22.5" customHeight="1">
      <c r="C69" s="104" t="s">
        <v>197</v>
      </c>
      <c r="D69" s="106" t="s">
        <v>101</v>
      </c>
      <c r="E69" s="112">
        <f t="shared" si="3"/>
        <v>7000000</v>
      </c>
      <c r="H69" s="125"/>
      <c r="I69" s="112">
        <f t="shared" si="4"/>
        <v>350000</v>
      </c>
      <c r="J69" s="112">
        <f t="shared" si="5"/>
        <v>700000</v>
      </c>
      <c r="K69" s="112">
        <f t="shared" si="6"/>
        <v>4550000</v>
      </c>
      <c r="L69" s="112">
        <f t="shared" si="7"/>
        <v>1400000</v>
      </c>
    </row>
    <row r="70" ht="22.5" customHeight="1">
      <c r="C70" s="104" t="s">
        <v>198</v>
      </c>
      <c r="D70" s="106" t="s">
        <v>125</v>
      </c>
      <c r="E70" s="112">
        <f t="shared" si="3"/>
        <v>5000000</v>
      </c>
      <c r="H70" s="125"/>
      <c r="I70" s="112">
        <f t="shared" si="4"/>
        <v>250000</v>
      </c>
      <c r="J70" s="112">
        <f t="shared" si="5"/>
        <v>500000</v>
      </c>
      <c r="K70" s="112">
        <f t="shared" si="6"/>
        <v>3250000</v>
      </c>
      <c r="L70" s="112">
        <f t="shared" si="7"/>
        <v>1000000</v>
      </c>
    </row>
    <row r="71" ht="22.5" customHeight="1">
      <c r="C71" s="104" t="s">
        <v>199</v>
      </c>
      <c r="D71" s="106" t="s">
        <v>101</v>
      </c>
      <c r="E71" s="112">
        <f t="shared" si="3"/>
        <v>7000000</v>
      </c>
      <c r="H71" s="125"/>
      <c r="I71" s="112">
        <f t="shared" si="4"/>
        <v>350000</v>
      </c>
      <c r="J71" s="112">
        <f t="shared" si="5"/>
        <v>700000</v>
      </c>
      <c r="K71" s="112">
        <f t="shared" si="6"/>
        <v>4550000</v>
      </c>
      <c r="L71" s="112">
        <f t="shared" si="7"/>
        <v>1400000</v>
      </c>
    </row>
    <row r="72" ht="22.5" customHeight="1">
      <c r="C72" s="104" t="s">
        <v>200</v>
      </c>
      <c r="D72" s="106" t="s">
        <v>132</v>
      </c>
      <c r="E72" s="112">
        <f t="shared" si="3"/>
        <v>12000000</v>
      </c>
      <c r="H72" s="125"/>
      <c r="I72" s="112">
        <f t="shared" si="4"/>
        <v>600000</v>
      </c>
      <c r="J72" s="112">
        <f t="shared" si="5"/>
        <v>1200000</v>
      </c>
      <c r="K72" s="112">
        <f t="shared" si="6"/>
        <v>7800000</v>
      </c>
      <c r="L72" s="112">
        <f t="shared" si="7"/>
        <v>2400000</v>
      </c>
    </row>
    <row r="73" ht="22.5" customHeight="1">
      <c r="C73" s="104" t="s">
        <v>201</v>
      </c>
      <c r="D73" s="106" t="s">
        <v>101</v>
      </c>
      <c r="E73" s="112">
        <f t="shared" si="3"/>
        <v>7000000</v>
      </c>
      <c r="H73" s="125"/>
      <c r="I73" s="112">
        <f t="shared" si="4"/>
        <v>350000</v>
      </c>
      <c r="J73" s="112">
        <f t="shared" si="5"/>
        <v>700000</v>
      </c>
      <c r="K73" s="112">
        <f t="shared" si="6"/>
        <v>4550000</v>
      </c>
      <c r="L73" s="112">
        <f t="shared" si="7"/>
        <v>1400000</v>
      </c>
    </row>
    <row r="74" ht="22.5" customHeight="1">
      <c r="B74" s="128" t="s">
        <v>202</v>
      </c>
      <c r="C74" s="104" t="s">
        <v>203</v>
      </c>
      <c r="D74" s="106" t="s">
        <v>125</v>
      </c>
      <c r="E74" s="112">
        <f t="shared" si="3"/>
        <v>5000000</v>
      </c>
      <c r="F74" s="126">
        <f>sum(E74:E82)</f>
        <v>51000000</v>
      </c>
      <c r="G74" s="104">
        <v>0.0</v>
      </c>
      <c r="H74" s="129"/>
      <c r="I74" s="112">
        <f t="shared" si="4"/>
        <v>250000</v>
      </c>
      <c r="J74" s="112">
        <f t="shared" si="5"/>
        <v>500000</v>
      </c>
      <c r="K74" s="112">
        <f t="shared" si="6"/>
        <v>3250000</v>
      </c>
      <c r="L74" s="112">
        <f t="shared" si="7"/>
        <v>1000000</v>
      </c>
    </row>
    <row r="75" ht="22.5" customHeight="1">
      <c r="C75" s="104" t="s">
        <v>204</v>
      </c>
      <c r="D75" s="106" t="s">
        <v>101</v>
      </c>
      <c r="E75" s="112">
        <f t="shared" si="3"/>
        <v>7000000</v>
      </c>
      <c r="H75" s="125"/>
      <c r="I75" s="112">
        <f t="shared" si="4"/>
        <v>350000</v>
      </c>
      <c r="J75" s="112">
        <f t="shared" si="5"/>
        <v>700000</v>
      </c>
      <c r="K75" s="112">
        <f t="shared" si="6"/>
        <v>4550000</v>
      </c>
      <c r="L75" s="112">
        <f t="shared" si="7"/>
        <v>1400000</v>
      </c>
    </row>
    <row r="76" ht="22.5" customHeight="1">
      <c r="C76" s="104" t="s">
        <v>205</v>
      </c>
      <c r="D76" s="106" t="s">
        <v>101</v>
      </c>
      <c r="E76" s="112">
        <f t="shared" si="3"/>
        <v>7000000</v>
      </c>
      <c r="H76" s="125"/>
      <c r="I76" s="112">
        <f t="shared" si="4"/>
        <v>350000</v>
      </c>
      <c r="J76" s="112">
        <f t="shared" si="5"/>
        <v>700000</v>
      </c>
      <c r="K76" s="112">
        <f t="shared" si="6"/>
        <v>4550000</v>
      </c>
      <c r="L76" s="112">
        <f t="shared" si="7"/>
        <v>1400000</v>
      </c>
    </row>
    <row r="77" ht="22.5" customHeight="1">
      <c r="C77" s="104" t="s">
        <v>206</v>
      </c>
      <c r="D77" s="106" t="s">
        <v>101</v>
      </c>
      <c r="E77" s="112">
        <f t="shared" si="3"/>
        <v>7000000</v>
      </c>
      <c r="H77" s="125"/>
      <c r="I77" s="112">
        <f t="shared" si="4"/>
        <v>350000</v>
      </c>
      <c r="J77" s="112">
        <f t="shared" si="5"/>
        <v>700000</v>
      </c>
      <c r="K77" s="112">
        <f t="shared" si="6"/>
        <v>4550000</v>
      </c>
      <c r="L77" s="112">
        <f t="shared" si="7"/>
        <v>1400000</v>
      </c>
    </row>
    <row r="78" ht="22.5" customHeight="1">
      <c r="C78" s="104" t="s">
        <v>207</v>
      </c>
      <c r="D78" s="106" t="s">
        <v>101</v>
      </c>
      <c r="E78" s="112">
        <f t="shared" si="3"/>
        <v>7000000</v>
      </c>
      <c r="H78" s="125"/>
      <c r="I78" s="112">
        <f t="shared" si="4"/>
        <v>350000</v>
      </c>
      <c r="J78" s="112">
        <f t="shared" si="5"/>
        <v>700000</v>
      </c>
      <c r="K78" s="112">
        <f t="shared" si="6"/>
        <v>4550000</v>
      </c>
      <c r="L78" s="112">
        <f t="shared" si="7"/>
        <v>1400000</v>
      </c>
    </row>
    <row r="79" ht="22.5" customHeight="1">
      <c r="C79" s="104" t="s">
        <v>208</v>
      </c>
      <c r="D79" s="106" t="s">
        <v>130</v>
      </c>
      <c r="E79" s="112">
        <f t="shared" si="3"/>
        <v>3000000</v>
      </c>
      <c r="H79" s="125"/>
      <c r="I79" s="112">
        <f t="shared" si="4"/>
        <v>150000</v>
      </c>
      <c r="J79" s="112">
        <f t="shared" si="5"/>
        <v>300000</v>
      </c>
      <c r="K79" s="112">
        <f t="shared" si="6"/>
        <v>1950000</v>
      </c>
      <c r="L79" s="112">
        <f t="shared" si="7"/>
        <v>600000</v>
      </c>
    </row>
    <row r="80" ht="22.5" customHeight="1">
      <c r="C80" s="104" t="s">
        <v>209</v>
      </c>
      <c r="D80" s="106" t="s">
        <v>128</v>
      </c>
      <c r="E80" s="112">
        <f t="shared" si="3"/>
        <v>3000000</v>
      </c>
      <c r="H80" s="125"/>
      <c r="I80" s="112">
        <f t="shared" si="4"/>
        <v>150000</v>
      </c>
      <c r="J80" s="112">
        <f t="shared" si="5"/>
        <v>300000</v>
      </c>
      <c r="K80" s="112">
        <f t="shared" si="6"/>
        <v>1950000</v>
      </c>
      <c r="L80" s="112">
        <f t="shared" si="7"/>
        <v>600000</v>
      </c>
    </row>
    <row r="81" ht="22.5" customHeight="1">
      <c r="C81" s="104" t="s">
        <v>210</v>
      </c>
      <c r="D81" s="106" t="s">
        <v>125</v>
      </c>
      <c r="E81" s="112">
        <f t="shared" si="3"/>
        <v>5000000</v>
      </c>
      <c r="H81" s="125"/>
      <c r="I81" s="112">
        <f t="shared" si="4"/>
        <v>250000</v>
      </c>
      <c r="J81" s="112">
        <f t="shared" si="5"/>
        <v>500000</v>
      </c>
      <c r="K81" s="112">
        <f t="shared" si="6"/>
        <v>3250000</v>
      </c>
      <c r="L81" s="112">
        <f t="shared" si="7"/>
        <v>1000000</v>
      </c>
    </row>
    <row r="82" ht="22.5" customHeight="1">
      <c r="C82" s="104" t="s">
        <v>211</v>
      </c>
      <c r="D82" s="106" t="s">
        <v>101</v>
      </c>
      <c r="E82" s="112">
        <f t="shared" si="3"/>
        <v>7000000</v>
      </c>
      <c r="H82" s="125"/>
      <c r="I82" s="112">
        <f t="shared" si="4"/>
        <v>350000</v>
      </c>
      <c r="J82" s="112">
        <f t="shared" si="5"/>
        <v>700000</v>
      </c>
      <c r="K82" s="112">
        <f t="shared" si="6"/>
        <v>4550000</v>
      </c>
      <c r="L82" s="112">
        <f t="shared" si="7"/>
        <v>1400000</v>
      </c>
    </row>
    <row r="83" ht="22.5" customHeight="1">
      <c r="B83" s="128" t="s">
        <v>212</v>
      </c>
      <c r="C83" s="104" t="s">
        <v>213</v>
      </c>
      <c r="D83" s="106" t="s">
        <v>132</v>
      </c>
      <c r="E83" s="112">
        <f t="shared" si="3"/>
        <v>12000000</v>
      </c>
      <c r="F83" s="126">
        <f>sum(E83:E92)</f>
        <v>82000000</v>
      </c>
      <c r="G83" s="104">
        <v>1.0</v>
      </c>
      <c r="H83" s="113">
        <v>2.0</v>
      </c>
      <c r="I83" s="112">
        <f t="shared" si="4"/>
        <v>600000</v>
      </c>
      <c r="J83" s="112">
        <f t="shared" si="5"/>
        <v>1200000</v>
      </c>
      <c r="K83" s="112">
        <f t="shared" si="6"/>
        <v>7800000</v>
      </c>
      <c r="L83" s="112">
        <f t="shared" si="7"/>
        <v>2400000</v>
      </c>
    </row>
    <row r="84" ht="22.5" customHeight="1">
      <c r="C84" s="104" t="s">
        <v>214</v>
      </c>
      <c r="D84" s="106" t="s">
        <v>125</v>
      </c>
      <c r="E84" s="112">
        <f t="shared" si="3"/>
        <v>5000000</v>
      </c>
      <c r="H84" s="125"/>
      <c r="I84" s="112">
        <f t="shared" si="4"/>
        <v>250000</v>
      </c>
      <c r="J84" s="112">
        <f t="shared" si="5"/>
        <v>500000</v>
      </c>
      <c r="K84" s="112">
        <f t="shared" si="6"/>
        <v>3250000</v>
      </c>
      <c r="L84" s="112">
        <f t="shared" si="7"/>
        <v>1000000</v>
      </c>
    </row>
    <row r="85" ht="22.5" customHeight="1">
      <c r="C85" s="104" t="s">
        <v>215</v>
      </c>
      <c r="D85" s="106" t="s">
        <v>101</v>
      </c>
      <c r="E85" s="112">
        <f t="shared" si="3"/>
        <v>7000000</v>
      </c>
      <c r="H85" s="125"/>
      <c r="I85" s="112">
        <f t="shared" si="4"/>
        <v>350000</v>
      </c>
      <c r="J85" s="112">
        <f t="shared" si="5"/>
        <v>700000</v>
      </c>
      <c r="K85" s="112">
        <f t="shared" si="6"/>
        <v>4550000</v>
      </c>
      <c r="L85" s="112">
        <f t="shared" si="7"/>
        <v>1400000</v>
      </c>
    </row>
    <row r="86" ht="22.5" customHeight="1">
      <c r="C86" s="104" t="s">
        <v>216</v>
      </c>
      <c r="D86" s="106" t="s">
        <v>125</v>
      </c>
      <c r="E86" s="112">
        <f t="shared" si="3"/>
        <v>5000000</v>
      </c>
      <c r="H86" s="125"/>
      <c r="I86" s="112">
        <f t="shared" si="4"/>
        <v>250000</v>
      </c>
      <c r="J86" s="112">
        <f t="shared" si="5"/>
        <v>500000</v>
      </c>
      <c r="K86" s="112">
        <f t="shared" si="6"/>
        <v>3250000</v>
      </c>
      <c r="L86" s="112">
        <f t="shared" si="7"/>
        <v>1000000</v>
      </c>
    </row>
    <row r="87" ht="22.5" customHeight="1">
      <c r="C87" s="104" t="s">
        <v>217</v>
      </c>
      <c r="D87" s="106" t="s">
        <v>101</v>
      </c>
      <c r="E87" s="112">
        <f t="shared" si="3"/>
        <v>7000000</v>
      </c>
      <c r="H87" s="125"/>
      <c r="I87" s="112">
        <f t="shared" si="4"/>
        <v>350000</v>
      </c>
      <c r="J87" s="112">
        <f t="shared" si="5"/>
        <v>700000</v>
      </c>
      <c r="K87" s="112">
        <f t="shared" si="6"/>
        <v>4550000</v>
      </c>
      <c r="L87" s="112">
        <f t="shared" si="7"/>
        <v>1400000</v>
      </c>
    </row>
    <row r="88" ht="22.5" customHeight="1">
      <c r="C88" s="104" t="s">
        <v>218</v>
      </c>
      <c r="D88" s="106" t="s">
        <v>132</v>
      </c>
      <c r="E88" s="112">
        <f t="shared" si="3"/>
        <v>12000000</v>
      </c>
      <c r="H88" s="125"/>
      <c r="I88" s="112">
        <f t="shared" si="4"/>
        <v>600000</v>
      </c>
      <c r="J88" s="112">
        <f t="shared" si="5"/>
        <v>1200000</v>
      </c>
      <c r="K88" s="112">
        <f t="shared" si="6"/>
        <v>7800000</v>
      </c>
      <c r="L88" s="112">
        <f t="shared" si="7"/>
        <v>2400000</v>
      </c>
    </row>
    <row r="89" ht="22.5" customHeight="1">
      <c r="C89" s="104" t="s">
        <v>219</v>
      </c>
      <c r="D89" s="106" t="s">
        <v>125</v>
      </c>
      <c r="E89" s="112">
        <f t="shared" si="3"/>
        <v>5000000</v>
      </c>
      <c r="H89" s="125"/>
      <c r="I89" s="112">
        <f t="shared" si="4"/>
        <v>250000</v>
      </c>
      <c r="J89" s="112">
        <f t="shared" si="5"/>
        <v>500000</v>
      </c>
      <c r="K89" s="112">
        <f t="shared" si="6"/>
        <v>3250000</v>
      </c>
      <c r="L89" s="112">
        <f t="shared" si="7"/>
        <v>1000000</v>
      </c>
    </row>
    <row r="90" ht="22.5" customHeight="1">
      <c r="C90" s="104" t="s">
        <v>220</v>
      </c>
      <c r="D90" s="106" t="s">
        <v>132</v>
      </c>
      <c r="E90" s="112">
        <f t="shared" si="3"/>
        <v>12000000</v>
      </c>
      <c r="H90" s="125"/>
      <c r="I90" s="112">
        <f t="shared" si="4"/>
        <v>600000</v>
      </c>
      <c r="J90" s="112">
        <f t="shared" si="5"/>
        <v>1200000</v>
      </c>
      <c r="K90" s="112">
        <f t="shared" si="6"/>
        <v>7800000</v>
      </c>
      <c r="L90" s="112">
        <f t="shared" si="7"/>
        <v>2400000</v>
      </c>
    </row>
    <row r="91" ht="22.5" customHeight="1">
      <c r="C91" s="104" t="s">
        <v>221</v>
      </c>
      <c r="D91" s="106" t="s">
        <v>125</v>
      </c>
      <c r="E91" s="112">
        <f t="shared" si="3"/>
        <v>5000000</v>
      </c>
      <c r="H91" s="125"/>
      <c r="I91" s="112">
        <f t="shared" si="4"/>
        <v>250000</v>
      </c>
      <c r="J91" s="112">
        <f t="shared" si="5"/>
        <v>500000</v>
      </c>
      <c r="K91" s="112">
        <f t="shared" si="6"/>
        <v>3250000</v>
      </c>
      <c r="L91" s="112">
        <f t="shared" si="7"/>
        <v>1000000</v>
      </c>
    </row>
    <row r="92" ht="22.5" customHeight="1">
      <c r="B92" s="127"/>
      <c r="C92" s="104" t="s">
        <v>222</v>
      </c>
      <c r="D92" s="106" t="s">
        <v>132</v>
      </c>
      <c r="E92" s="112">
        <f t="shared" si="3"/>
        <v>12000000</v>
      </c>
      <c r="H92" s="125"/>
      <c r="I92" s="112">
        <f t="shared" si="4"/>
        <v>600000</v>
      </c>
      <c r="J92" s="112">
        <f t="shared" si="5"/>
        <v>1200000</v>
      </c>
      <c r="K92" s="112">
        <f t="shared" si="6"/>
        <v>7800000</v>
      </c>
      <c r="L92" s="112">
        <f t="shared" si="7"/>
        <v>2400000</v>
      </c>
    </row>
    <row r="93" ht="22.5" customHeight="1">
      <c r="B93" s="104" t="s">
        <v>223</v>
      </c>
      <c r="C93" s="104" t="s">
        <v>224</v>
      </c>
      <c r="D93" s="106" t="s">
        <v>125</v>
      </c>
      <c r="E93" s="112">
        <f t="shared" si="3"/>
        <v>5000000</v>
      </c>
      <c r="F93" s="126">
        <f>sum(E93:E97)</f>
        <v>29000000</v>
      </c>
      <c r="G93" s="104">
        <v>0.0</v>
      </c>
      <c r="H93" s="129"/>
      <c r="I93" s="112">
        <f t="shared" si="4"/>
        <v>250000</v>
      </c>
      <c r="J93" s="112">
        <f t="shared" si="5"/>
        <v>500000</v>
      </c>
      <c r="K93" s="112">
        <f t="shared" si="6"/>
        <v>3250000</v>
      </c>
      <c r="L93" s="112">
        <f t="shared" si="7"/>
        <v>1000000</v>
      </c>
    </row>
    <row r="94" ht="22.5" customHeight="1">
      <c r="C94" s="104" t="s">
        <v>225</v>
      </c>
      <c r="D94" s="106" t="s">
        <v>125</v>
      </c>
      <c r="E94" s="112">
        <f t="shared" si="3"/>
        <v>5000000</v>
      </c>
      <c r="H94" s="125"/>
      <c r="I94" s="112">
        <f t="shared" si="4"/>
        <v>250000</v>
      </c>
      <c r="J94" s="112">
        <f t="shared" si="5"/>
        <v>500000</v>
      </c>
      <c r="K94" s="112">
        <f t="shared" si="6"/>
        <v>3250000</v>
      </c>
      <c r="L94" s="112">
        <f t="shared" si="7"/>
        <v>1000000</v>
      </c>
    </row>
    <row r="95" ht="22.5" customHeight="1">
      <c r="C95" s="104" t="s">
        <v>226</v>
      </c>
      <c r="D95" s="106" t="s">
        <v>101</v>
      </c>
      <c r="E95" s="112">
        <f t="shared" si="3"/>
        <v>7000000</v>
      </c>
      <c r="H95" s="125"/>
      <c r="I95" s="112">
        <f t="shared" si="4"/>
        <v>350000</v>
      </c>
      <c r="J95" s="112">
        <f t="shared" si="5"/>
        <v>700000</v>
      </c>
      <c r="K95" s="112">
        <f t="shared" si="6"/>
        <v>4550000</v>
      </c>
      <c r="L95" s="112">
        <f t="shared" si="7"/>
        <v>1400000</v>
      </c>
    </row>
    <row r="96" ht="22.5" customHeight="1">
      <c r="C96" s="104" t="s">
        <v>227</v>
      </c>
      <c r="D96" s="106" t="s">
        <v>125</v>
      </c>
      <c r="E96" s="112">
        <f t="shared" si="3"/>
        <v>5000000</v>
      </c>
      <c r="H96" s="125"/>
      <c r="I96" s="112">
        <f t="shared" si="4"/>
        <v>250000</v>
      </c>
      <c r="J96" s="112">
        <f t="shared" si="5"/>
        <v>500000</v>
      </c>
      <c r="K96" s="112">
        <f t="shared" si="6"/>
        <v>3250000</v>
      </c>
      <c r="L96" s="112">
        <f t="shared" si="7"/>
        <v>1000000</v>
      </c>
    </row>
    <row r="97" ht="22.5" customHeight="1">
      <c r="C97" s="104" t="s">
        <v>228</v>
      </c>
      <c r="D97" s="106" t="s">
        <v>101</v>
      </c>
      <c r="E97" s="112">
        <f t="shared" si="3"/>
        <v>7000000</v>
      </c>
      <c r="H97" s="125"/>
      <c r="I97" s="112">
        <f t="shared" si="4"/>
        <v>350000</v>
      </c>
      <c r="J97" s="112">
        <f t="shared" si="5"/>
        <v>700000</v>
      </c>
      <c r="K97" s="112">
        <f t="shared" si="6"/>
        <v>4550000</v>
      </c>
      <c r="L97" s="112">
        <f t="shared" si="7"/>
        <v>1400000</v>
      </c>
    </row>
    <row r="98" ht="22.5" customHeight="1">
      <c r="B98" s="104" t="s">
        <v>229</v>
      </c>
      <c r="C98" s="104" t="s">
        <v>230</v>
      </c>
      <c r="D98" s="106" t="s">
        <v>125</v>
      </c>
      <c r="E98" s="112">
        <f t="shared" si="3"/>
        <v>5000000</v>
      </c>
      <c r="F98" s="126">
        <f>sum(E98:E110)</f>
        <v>69000000</v>
      </c>
      <c r="G98" s="104">
        <v>0.0</v>
      </c>
      <c r="H98" s="129"/>
      <c r="I98" s="112">
        <f t="shared" si="4"/>
        <v>250000</v>
      </c>
      <c r="J98" s="112">
        <f t="shared" si="5"/>
        <v>500000</v>
      </c>
      <c r="K98" s="112">
        <f t="shared" si="6"/>
        <v>3250000</v>
      </c>
      <c r="L98" s="112">
        <f t="shared" si="7"/>
        <v>1000000</v>
      </c>
    </row>
    <row r="99" ht="22.5" customHeight="1">
      <c r="C99" s="104" t="s">
        <v>231</v>
      </c>
      <c r="D99" s="106" t="s">
        <v>125</v>
      </c>
      <c r="E99" s="112">
        <f t="shared" si="3"/>
        <v>5000000</v>
      </c>
      <c r="H99" s="125"/>
      <c r="I99" s="112">
        <f t="shared" si="4"/>
        <v>250000</v>
      </c>
      <c r="J99" s="112">
        <f t="shared" si="5"/>
        <v>500000</v>
      </c>
      <c r="K99" s="112">
        <f t="shared" si="6"/>
        <v>3250000</v>
      </c>
      <c r="L99" s="112">
        <f t="shared" si="7"/>
        <v>1000000</v>
      </c>
    </row>
    <row r="100" ht="22.5" customHeight="1">
      <c r="C100" s="104" t="s">
        <v>232</v>
      </c>
      <c r="D100" s="106" t="s">
        <v>101</v>
      </c>
      <c r="E100" s="112">
        <f t="shared" si="3"/>
        <v>7000000</v>
      </c>
      <c r="H100" s="125"/>
      <c r="I100" s="112">
        <f t="shared" si="4"/>
        <v>350000</v>
      </c>
      <c r="J100" s="112">
        <f t="shared" si="5"/>
        <v>700000</v>
      </c>
      <c r="K100" s="112">
        <f t="shared" si="6"/>
        <v>4550000</v>
      </c>
      <c r="L100" s="112">
        <f t="shared" si="7"/>
        <v>1400000</v>
      </c>
    </row>
    <row r="101" ht="22.5" customHeight="1">
      <c r="C101" s="104" t="s">
        <v>233</v>
      </c>
      <c r="D101" s="106" t="s">
        <v>125</v>
      </c>
      <c r="E101" s="112">
        <f t="shared" si="3"/>
        <v>5000000</v>
      </c>
      <c r="H101" s="125"/>
      <c r="I101" s="112">
        <f t="shared" si="4"/>
        <v>250000</v>
      </c>
      <c r="J101" s="112">
        <f t="shared" si="5"/>
        <v>500000</v>
      </c>
      <c r="K101" s="112">
        <f t="shared" si="6"/>
        <v>3250000</v>
      </c>
      <c r="L101" s="112">
        <f t="shared" si="7"/>
        <v>1000000</v>
      </c>
    </row>
    <row r="102" ht="22.5" customHeight="1">
      <c r="C102" s="104" t="s">
        <v>234</v>
      </c>
      <c r="D102" s="106" t="s">
        <v>101</v>
      </c>
      <c r="E102" s="112">
        <f t="shared" si="3"/>
        <v>7000000</v>
      </c>
      <c r="H102" s="125"/>
      <c r="I102" s="112">
        <f t="shared" si="4"/>
        <v>350000</v>
      </c>
      <c r="J102" s="112">
        <f t="shared" si="5"/>
        <v>700000</v>
      </c>
      <c r="K102" s="112">
        <f t="shared" si="6"/>
        <v>4550000</v>
      </c>
      <c r="L102" s="112">
        <f t="shared" si="7"/>
        <v>1400000</v>
      </c>
    </row>
    <row r="103" ht="22.5" customHeight="1">
      <c r="C103" s="104" t="s">
        <v>235</v>
      </c>
      <c r="D103" s="106" t="s">
        <v>125</v>
      </c>
      <c r="E103" s="112">
        <f t="shared" si="3"/>
        <v>5000000</v>
      </c>
      <c r="H103" s="125"/>
      <c r="I103" s="112">
        <f t="shared" si="4"/>
        <v>250000</v>
      </c>
      <c r="J103" s="112">
        <f t="shared" si="5"/>
        <v>500000</v>
      </c>
      <c r="K103" s="112">
        <f t="shared" si="6"/>
        <v>3250000</v>
      </c>
      <c r="L103" s="112">
        <f t="shared" si="7"/>
        <v>1000000</v>
      </c>
    </row>
    <row r="104" ht="22.5" customHeight="1">
      <c r="C104" s="104" t="s">
        <v>236</v>
      </c>
      <c r="D104" s="106" t="s">
        <v>101</v>
      </c>
      <c r="E104" s="112">
        <f t="shared" si="3"/>
        <v>7000000</v>
      </c>
      <c r="H104" s="125"/>
      <c r="I104" s="112">
        <f t="shared" si="4"/>
        <v>350000</v>
      </c>
      <c r="J104" s="112">
        <f t="shared" si="5"/>
        <v>700000</v>
      </c>
      <c r="K104" s="112">
        <f t="shared" si="6"/>
        <v>4550000</v>
      </c>
      <c r="L104" s="112">
        <f t="shared" si="7"/>
        <v>1400000</v>
      </c>
    </row>
    <row r="105" ht="22.5" customHeight="1">
      <c r="C105" s="104" t="s">
        <v>237</v>
      </c>
      <c r="D105" s="106" t="s">
        <v>125</v>
      </c>
      <c r="E105" s="112">
        <f t="shared" si="3"/>
        <v>5000000</v>
      </c>
      <c r="H105" s="125"/>
      <c r="I105" s="112">
        <f t="shared" si="4"/>
        <v>250000</v>
      </c>
      <c r="J105" s="112">
        <f t="shared" si="5"/>
        <v>500000</v>
      </c>
      <c r="K105" s="112">
        <f t="shared" si="6"/>
        <v>3250000</v>
      </c>
      <c r="L105" s="112">
        <f t="shared" si="7"/>
        <v>1000000</v>
      </c>
    </row>
    <row r="106" ht="22.5" customHeight="1">
      <c r="C106" s="104" t="s">
        <v>238</v>
      </c>
      <c r="D106" s="106" t="s">
        <v>101</v>
      </c>
      <c r="E106" s="112">
        <f t="shared" si="3"/>
        <v>7000000</v>
      </c>
      <c r="H106" s="125"/>
      <c r="I106" s="112">
        <f t="shared" si="4"/>
        <v>350000</v>
      </c>
      <c r="J106" s="112">
        <f t="shared" si="5"/>
        <v>700000</v>
      </c>
      <c r="K106" s="112">
        <f t="shared" si="6"/>
        <v>4550000</v>
      </c>
      <c r="L106" s="112">
        <f t="shared" si="7"/>
        <v>1400000</v>
      </c>
    </row>
    <row r="107" ht="22.5" customHeight="1">
      <c r="C107" s="104" t="s">
        <v>239</v>
      </c>
      <c r="D107" s="106" t="s">
        <v>125</v>
      </c>
      <c r="E107" s="112">
        <f t="shared" si="3"/>
        <v>5000000</v>
      </c>
      <c r="H107" s="125"/>
      <c r="I107" s="112">
        <f t="shared" si="4"/>
        <v>250000</v>
      </c>
      <c r="J107" s="112">
        <f t="shared" si="5"/>
        <v>500000</v>
      </c>
      <c r="K107" s="112">
        <f t="shared" si="6"/>
        <v>3250000</v>
      </c>
      <c r="L107" s="112">
        <f t="shared" si="7"/>
        <v>1000000</v>
      </c>
    </row>
    <row r="108" ht="22.5" customHeight="1">
      <c r="C108" s="104" t="s">
        <v>240</v>
      </c>
      <c r="D108" s="106" t="s">
        <v>128</v>
      </c>
      <c r="E108" s="112">
        <f t="shared" si="3"/>
        <v>3000000</v>
      </c>
      <c r="H108" s="125"/>
      <c r="I108" s="112">
        <f t="shared" si="4"/>
        <v>150000</v>
      </c>
      <c r="J108" s="112">
        <f t="shared" si="5"/>
        <v>300000</v>
      </c>
      <c r="K108" s="112">
        <f t="shared" si="6"/>
        <v>1950000</v>
      </c>
      <c r="L108" s="112">
        <f t="shared" si="7"/>
        <v>600000</v>
      </c>
    </row>
    <row r="109" ht="22.5" customHeight="1">
      <c r="C109" s="104" t="s">
        <v>241</v>
      </c>
      <c r="D109" s="106" t="s">
        <v>128</v>
      </c>
      <c r="E109" s="112">
        <f t="shared" si="3"/>
        <v>3000000</v>
      </c>
      <c r="H109" s="125"/>
      <c r="I109" s="112">
        <f t="shared" si="4"/>
        <v>150000</v>
      </c>
      <c r="J109" s="112">
        <f t="shared" si="5"/>
        <v>300000</v>
      </c>
      <c r="K109" s="112">
        <f t="shared" si="6"/>
        <v>1950000</v>
      </c>
      <c r="L109" s="112">
        <f t="shared" si="7"/>
        <v>600000</v>
      </c>
    </row>
    <row r="110" ht="22.5" customHeight="1">
      <c r="C110" s="104" t="s">
        <v>242</v>
      </c>
      <c r="D110" s="106" t="s">
        <v>125</v>
      </c>
      <c r="E110" s="112">
        <f t="shared" si="3"/>
        <v>5000000</v>
      </c>
      <c r="H110" s="125"/>
      <c r="I110" s="112">
        <f t="shared" si="4"/>
        <v>250000</v>
      </c>
      <c r="J110" s="112">
        <f t="shared" si="5"/>
        <v>500000</v>
      </c>
      <c r="K110" s="112">
        <f t="shared" si="6"/>
        <v>3250000</v>
      </c>
      <c r="L110" s="112">
        <f t="shared" si="7"/>
        <v>1000000</v>
      </c>
    </row>
    <row r="111" ht="22.5" customHeight="1">
      <c r="B111" s="104" t="s">
        <v>243</v>
      </c>
      <c r="C111" s="104" t="s">
        <v>244</v>
      </c>
      <c r="D111" s="106" t="s">
        <v>125</v>
      </c>
      <c r="E111" s="112">
        <f t="shared" si="3"/>
        <v>5000000</v>
      </c>
      <c r="F111" s="126">
        <f>sum(E111:E115)</f>
        <v>41000000</v>
      </c>
      <c r="G111" s="104">
        <v>0.0</v>
      </c>
      <c r="H111" s="129"/>
      <c r="I111" s="112">
        <f t="shared" si="4"/>
        <v>250000</v>
      </c>
      <c r="J111" s="112">
        <f t="shared" si="5"/>
        <v>500000</v>
      </c>
      <c r="K111" s="112">
        <f t="shared" si="6"/>
        <v>3250000</v>
      </c>
      <c r="L111" s="112">
        <f t="shared" si="7"/>
        <v>1000000</v>
      </c>
    </row>
    <row r="112" ht="22.5" customHeight="1">
      <c r="C112" s="104" t="s">
        <v>245</v>
      </c>
      <c r="D112" s="106" t="s">
        <v>125</v>
      </c>
      <c r="E112" s="112">
        <f t="shared" si="3"/>
        <v>5000000</v>
      </c>
      <c r="H112" s="125"/>
      <c r="I112" s="112">
        <f t="shared" si="4"/>
        <v>250000</v>
      </c>
      <c r="J112" s="112">
        <f t="shared" si="5"/>
        <v>500000</v>
      </c>
      <c r="K112" s="112">
        <f t="shared" si="6"/>
        <v>3250000</v>
      </c>
      <c r="L112" s="112">
        <f t="shared" si="7"/>
        <v>1000000</v>
      </c>
    </row>
    <row r="113" ht="22.5" customHeight="1">
      <c r="C113" s="104" t="s">
        <v>246</v>
      </c>
      <c r="D113" s="106" t="s">
        <v>101</v>
      </c>
      <c r="E113" s="112">
        <f t="shared" si="3"/>
        <v>7000000</v>
      </c>
      <c r="H113" s="125"/>
      <c r="I113" s="112">
        <f t="shared" si="4"/>
        <v>350000</v>
      </c>
      <c r="J113" s="112">
        <f t="shared" si="5"/>
        <v>700000</v>
      </c>
      <c r="K113" s="112">
        <f t="shared" si="6"/>
        <v>4550000</v>
      </c>
      <c r="L113" s="112">
        <f t="shared" si="7"/>
        <v>1400000</v>
      </c>
    </row>
    <row r="114" ht="22.5" customHeight="1">
      <c r="C114" s="104" t="s">
        <v>187</v>
      </c>
      <c r="D114" s="106" t="s">
        <v>132</v>
      </c>
      <c r="E114" s="112">
        <f t="shared" si="3"/>
        <v>12000000</v>
      </c>
      <c r="H114" s="125"/>
      <c r="I114" s="112">
        <f t="shared" si="4"/>
        <v>600000</v>
      </c>
      <c r="J114" s="112">
        <f t="shared" si="5"/>
        <v>1200000</v>
      </c>
      <c r="K114" s="112">
        <f t="shared" si="6"/>
        <v>7800000</v>
      </c>
      <c r="L114" s="112">
        <f t="shared" si="7"/>
        <v>2400000</v>
      </c>
    </row>
    <row r="115" ht="22.5" customHeight="1">
      <c r="C115" s="104" t="s">
        <v>247</v>
      </c>
      <c r="D115" s="106" t="s">
        <v>132</v>
      </c>
      <c r="E115" s="112">
        <f t="shared" si="3"/>
        <v>12000000</v>
      </c>
      <c r="H115" s="125"/>
      <c r="I115" s="112">
        <f t="shared" si="4"/>
        <v>600000</v>
      </c>
      <c r="J115" s="112">
        <f t="shared" si="5"/>
        <v>1200000</v>
      </c>
      <c r="K115" s="112">
        <f t="shared" si="6"/>
        <v>7800000</v>
      </c>
      <c r="L115" s="112">
        <f t="shared" si="7"/>
        <v>2400000</v>
      </c>
    </row>
    <row r="116" ht="22.5" customHeight="1">
      <c r="B116" s="104" t="s">
        <v>100</v>
      </c>
      <c r="C116" s="104" t="s">
        <v>248</v>
      </c>
      <c r="D116" s="106" t="s">
        <v>132</v>
      </c>
      <c r="E116" s="112">
        <f t="shared" si="3"/>
        <v>12000000</v>
      </c>
      <c r="F116" s="126">
        <f>E116</f>
        <v>12000000</v>
      </c>
      <c r="G116" s="104">
        <v>1.0</v>
      </c>
      <c r="H116" s="113">
        <v>2.0</v>
      </c>
      <c r="I116" s="112">
        <f t="shared" si="4"/>
        <v>600000</v>
      </c>
      <c r="J116" s="112">
        <f t="shared" si="5"/>
        <v>1200000</v>
      </c>
      <c r="K116" s="112">
        <f t="shared" si="6"/>
        <v>7800000</v>
      </c>
      <c r="L116" s="112">
        <f t="shared" si="7"/>
        <v>2400000</v>
      </c>
    </row>
    <row r="117" ht="22.5" customHeight="1">
      <c r="A117" s="125"/>
      <c r="B117" s="104" t="s">
        <v>249</v>
      </c>
      <c r="C117" s="113" t="s">
        <v>250</v>
      </c>
      <c r="D117" s="130" t="s">
        <v>132</v>
      </c>
      <c r="E117" s="112">
        <f t="shared" si="3"/>
        <v>12000000</v>
      </c>
      <c r="F117" s="131">
        <f>sum(E117:E123)</f>
        <v>49000000</v>
      </c>
      <c r="G117" s="113">
        <v>1.0</v>
      </c>
      <c r="H117" s="113">
        <v>2.0</v>
      </c>
      <c r="I117" s="112">
        <f t="shared" si="4"/>
        <v>600000</v>
      </c>
      <c r="J117" s="112">
        <f t="shared" si="5"/>
        <v>1200000</v>
      </c>
      <c r="K117" s="112">
        <f t="shared" si="6"/>
        <v>7800000</v>
      </c>
      <c r="L117" s="112">
        <f t="shared" si="7"/>
        <v>2400000</v>
      </c>
    </row>
    <row r="118" ht="22.5" customHeight="1">
      <c r="A118" s="125"/>
      <c r="B118" s="113"/>
      <c r="C118" s="113" t="s">
        <v>251</v>
      </c>
      <c r="D118" s="130" t="s">
        <v>132</v>
      </c>
      <c r="E118" s="112">
        <f t="shared" si="3"/>
        <v>12000000</v>
      </c>
      <c r="F118" s="125"/>
      <c r="G118" s="125"/>
      <c r="H118" s="125"/>
      <c r="I118" s="112">
        <f t="shared" si="4"/>
        <v>600000</v>
      </c>
      <c r="J118" s="112">
        <f t="shared" si="5"/>
        <v>1200000</v>
      </c>
      <c r="K118" s="112">
        <f t="shared" si="6"/>
        <v>7800000</v>
      </c>
      <c r="L118" s="112">
        <f t="shared" si="7"/>
        <v>2400000</v>
      </c>
    </row>
    <row r="119" ht="22.5" customHeight="1">
      <c r="A119" s="125"/>
      <c r="B119" s="113"/>
      <c r="C119" s="113" t="s">
        <v>252</v>
      </c>
      <c r="D119" s="130" t="s">
        <v>101</v>
      </c>
      <c r="E119" s="112">
        <f t="shared" si="3"/>
        <v>7000000</v>
      </c>
      <c r="F119" s="125"/>
      <c r="G119" s="125"/>
      <c r="H119" s="125"/>
      <c r="I119" s="112">
        <f t="shared" si="4"/>
        <v>350000</v>
      </c>
      <c r="J119" s="112">
        <f t="shared" si="5"/>
        <v>700000</v>
      </c>
      <c r="K119" s="112">
        <f t="shared" si="6"/>
        <v>4550000</v>
      </c>
      <c r="L119" s="112">
        <f t="shared" si="7"/>
        <v>1400000</v>
      </c>
    </row>
    <row r="120" ht="22.5" customHeight="1">
      <c r="A120" s="125"/>
      <c r="B120" s="113"/>
      <c r="C120" s="113" t="s">
        <v>253</v>
      </c>
      <c r="D120" s="130" t="s">
        <v>125</v>
      </c>
      <c r="E120" s="112">
        <f t="shared" si="3"/>
        <v>5000000</v>
      </c>
      <c r="F120" s="125"/>
      <c r="G120" s="125"/>
      <c r="H120" s="125"/>
      <c r="I120" s="112">
        <f t="shared" si="4"/>
        <v>250000</v>
      </c>
      <c r="J120" s="112">
        <f t="shared" si="5"/>
        <v>500000</v>
      </c>
      <c r="K120" s="112">
        <f t="shared" si="6"/>
        <v>3250000</v>
      </c>
      <c r="L120" s="112">
        <f t="shared" si="7"/>
        <v>1000000</v>
      </c>
    </row>
    <row r="121" ht="22.5" customHeight="1">
      <c r="A121" s="125"/>
      <c r="B121" s="113"/>
      <c r="C121" s="113" t="s">
        <v>254</v>
      </c>
      <c r="D121" s="130" t="s">
        <v>128</v>
      </c>
      <c r="E121" s="112">
        <f t="shared" si="3"/>
        <v>3000000</v>
      </c>
      <c r="F121" s="125"/>
      <c r="G121" s="125"/>
      <c r="H121" s="125"/>
      <c r="I121" s="112">
        <f t="shared" si="4"/>
        <v>150000</v>
      </c>
      <c r="J121" s="112">
        <f t="shared" si="5"/>
        <v>300000</v>
      </c>
      <c r="K121" s="112">
        <f t="shared" si="6"/>
        <v>1950000</v>
      </c>
      <c r="L121" s="112">
        <f t="shared" si="7"/>
        <v>600000</v>
      </c>
    </row>
    <row r="122" ht="22.5" customHeight="1">
      <c r="A122" s="125"/>
      <c r="B122" s="113"/>
      <c r="C122" s="113" t="s">
        <v>255</v>
      </c>
      <c r="D122" s="130" t="s">
        <v>130</v>
      </c>
      <c r="E122" s="112">
        <f t="shared" si="3"/>
        <v>3000000</v>
      </c>
      <c r="F122" s="125"/>
      <c r="G122" s="125"/>
      <c r="H122" s="125"/>
      <c r="I122" s="112">
        <f t="shared" si="4"/>
        <v>150000</v>
      </c>
      <c r="J122" s="112">
        <f t="shared" si="5"/>
        <v>300000</v>
      </c>
      <c r="K122" s="112">
        <f t="shared" si="6"/>
        <v>1950000</v>
      </c>
      <c r="L122" s="112">
        <f t="shared" si="7"/>
        <v>600000</v>
      </c>
    </row>
    <row r="123" ht="22.5" customHeight="1">
      <c r="A123" s="125"/>
      <c r="B123" s="113"/>
      <c r="C123" s="113" t="s">
        <v>256</v>
      </c>
      <c r="D123" s="130" t="s">
        <v>101</v>
      </c>
      <c r="E123" s="112">
        <f t="shared" si="3"/>
        <v>7000000</v>
      </c>
      <c r="F123" s="125"/>
      <c r="G123" s="125"/>
      <c r="H123" s="125"/>
      <c r="I123" s="112">
        <f t="shared" si="4"/>
        <v>350000</v>
      </c>
      <c r="J123" s="112">
        <f t="shared" si="5"/>
        <v>700000</v>
      </c>
      <c r="K123" s="112">
        <f t="shared" si="6"/>
        <v>4550000</v>
      </c>
      <c r="L123" s="112">
        <f t="shared" si="7"/>
        <v>1400000</v>
      </c>
    </row>
    <row r="124" ht="22.5" customHeight="1">
      <c r="A124" s="125"/>
      <c r="B124" s="113"/>
      <c r="C124" s="113"/>
      <c r="D124" s="130"/>
      <c r="E124" s="131"/>
      <c r="F124" s="125"/>
      <c r="G124" s="125"/>
      <c r="H124" s="125"/>
      <c r="I124" s="125"/>
      <c r="J124" s="125"/>
      <c r="K124" s="125"/>
      <c r="L124" s="125"/>
    </row>
    <row r="125">
      <c r="D125" s="114"/>
    </row>
    <row r="126">
      <c r="D126" s="114"/>
    </row>
    <row r="127">
      <c r="D127" s="114"/>
    </row>
    <row r="128">
      <c r="D128" s="114"/>
    </row>
    <row r="129">
      <c r="D129" s="114"/>
    </row>
    <row r="130">
      <c r="D130" s="114"/>
    </row>
    <row r="131">
      <c r="D131" s="114"/>
    </row>
    <row r="132">
      <c r="D132" s="114"/>
    </row>
    <row r="133">
      <c r="D133" s="114"/>
    </row>
    <row r="134">
      <c r="D134" s="114"/>
    </row>
    <row r="135">
      <c r="D135" s="114"/>
    </row>
    <row r="136">
      <c r="D136" s="114"/>
    </row>
    <row r="137">
      <c r="D137" s="114"/>
    </row>
    <row r="138">
      <c r="D138" s="114"/>
    </row>
    <row r="139">
      <c r="D139" s="114"/>
    </row>
    <row r="140">
      <c r="D140" s="114"/>
    </row>
  </sheetData>
  <dataValidations>
    <dataValidation type="list" allowBlank="1" showErrorMessage="1" sqref="D125:D140">
      <formula1>"Create,Read,Read &amp; Create,Update,Delete"</formula1>
    </dataValidation>
    <dataValidation type="custom" allowBlank="1" showDropDown="1" sqref="E5:E124">
      <formula1>AND(ISNUMBER(E5),(NOT(OR(NOT(ISERROR(DATEVALUE(E5))), AND(ISNUMBER(E5), LEFT(CELL("format", E5))="D")))))</formula1>
    </dataValidation>
    <dataValidation type="list" allowBlank="1" showErrorMessage="1" sqref="D5:D124">
      <formula1>"Create,Read,Read &amp; Create,Update,Delete"</formula1>
    </dataValidation>
  </dataValidations>
  <drawing r:id="rId4"/>
  <legacyDrawing r:id="rId5"/>
  <tableParts count="1"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10.38"/>
    <col customWidth="1" min="3" max="4" width="20.13"/>
    <col customWidth="1" min="5" max="5" width="23.25"/>
    <col customWidth="1" min="6" max="6" width="19.0"/>
    <col customWidth="1" min="7" max="7" width="25.88"/>
    <col customWidth="1" min="8" max="8" width="24.38"/>
    <col customWidth="1" min="9" max="9" width="10.25"/>
    <col customWidth="1" min="10" max="10" width="22.38"/>
  </cols>
  <sheetData>
    <row r="1">
      <c r="K1" s="1" t="s">
        <v>0</v>
      </c>
    </row>
    <row r="2">
      <c r="B2" s="3" t="s">
        <v>4</v>
      </c>
      <c r="C2" s="3" t="s">
        <v>2</v>
      </c>
      <c r="D2" s="6" t="s">
        <v>12</v>
      </c>
      <c r="E2" s="6" t="s">
        <v>13</v>
      </c>
      <c r="F2" s="6" t="s">
        <v>14</v>
      </c>
      <c r="G2" s="6" t="s">
        <v>16</v>
      </c>
      <c r="H2" s="6" t="s">
        <v>17</v>
      </c>
      <c r="I2" s="12" t="s">
        <v>18</v>
      </c>
      <c r="K2" s="1" t="s">
        <v>19</v>
      </c>
    </row>
    <row r="3">
      <c r="A3" s="15"/>
      <c r="B3" s="18">
        <v>1.0</v>
      </c>
      <c r="C3" s="22" t="s">
        <v>18</v>
      </c>
      <c r="D3" s="28">
        <f t="shared" ref="D3:F3" si="1">sum(D4:D11)</f>
        <v>26250000</v>
      </c>
      <c r="E3" s="28">
        <f t="shared" si="1"/>
        <v>52500000</v>
      </c>
      <c r="F3" s="28">
        <f t="shared" si="1"/>
        <v>301600000</v>
      </c>
      <c r="G3" s="28"/>
      <c r="H3" s="28"/>
      <c r="I3" s="37">
        <f>sum(D3:H3)</f>
        <v>380350000</v>
      </c>
      <c r="K3" s="40">
        <f>sum(K4:K11)</f>
        <v>525000000</v>
      </c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</row>
    <row r="4">
      <c r="B4" s="44"/>
      <c r="C4" s="48" t="str">
        <f>'Daftar Fitur'!B5</f>
        <v>Komunitas</v>
      </c>
      <c r="D4" s="54">
        <f>sum('Daftar Fitur'!I5:I12)</f>
        <v>2550000</v>
      </c>
      <c r="E4" s="55">
        <f>sum('Daftar Fitur'!J5:J12)</f>
        <v>5100000</v>
      </c>
      <c r="F4" s="55">
        <f>sum('Daftar Fitur'!K5:K12)</f>
        <v>33150000</v>
      </c>
      <c r="G4" s="13"/>
      <c r="H4" s="13"/>
      <c r="I4" s="58"/>
      <c r="K4" s="59">
        <f t="shared" ref="K4:K9" si="2">D4+E4+F4+G13+H22</f>
        <v>51000000</v>
      </c>
    </row>
    <row r="5">
      <c r="B5" s="44"/>
      <c r="C5" s="62" t="str">
        <f>'Daftar Fitur'!B13</f>
        <v>Keanggotaan</v>
      </c>
      <c r="D5" s="59">
        <f>sum('Daftar Fitur'!I13:I23)</f>
        <v>4400000</v>
      </c>
      <c r="E5" s="59">
        <f>sum('Daftar Fitur'!J13:J23)</f>
        <v>8800000</v>
      </c>
      <c r="F5" s="59">
        <f>sum('Daftar Fitur'!K13:K23)</f>
        <v>57200000</v>
      </c>
      <c r="I5" s="63"/>
      <c r="K5" s="59">
        <f t="shared" si="2"/>
        <v>88000000</v>
      </c>
    </row>
    <row r="6">
      <c r="B6" s="44"/>
      <c r="C6" s="62" t="str">
        <f>'Daftar Fitur'!B24</f>
        <v>Kepengurusan</v>
      </c>
      <c r="D6" s="59">
        <f>sum('Daftar Fitur'!I24:I34)</f>
        <v>4950000</v>
      </c>
      <c r="E6" s="59">
        <f>sum('Daftar Fitur'!J24:J34)</f>
        <v>9900000</v>
      </c>
      <c r="F6" s="59">
        <f>sum('Daftar Fitur'!K24:K34)</f>
        <v>64350000</v>
      </c>
      <c r="I6" s="63"/>
      <c r="K6" s="59">
        <f t="shared" si="2"/>
        <v>99000000</v>
      </c>
    </row>
    <row r="7">
      <c r="B7" s="44"/>
      <c r="C7" s="62" t="str">
        <f>'Daftar Fitur'!B35</f>
        <v>Event management</v>
      </c>
      <c r="D7" s="59">
        <f>sum('Daftar Fitur'!I35:I47)</f>
        <v>5050000</v>
      </c>
      <c r="E7" s="59">
        <f>sum('Daftar Fitur'!J35:J47)</f>
        <v>10100000</v>
      </c>
      <c r="F7" s="59">
        <f>sum('Daftar Fitur'!K35:K47)</f>
        <v>65650000</v>
      </c>
      <c r="I7" s="63"/>
      <c r="K7" s="59">
        <f t="shared" si="2"/>
        <v>101000000</v>
      </c>
    </row>
    <row r="8">
      <c r="B8" s="44"/>
      <c r="C8" s="69" t="str">
        <f>'Daftar Fitur'!B48</f>
        <v>Sertifikat</v>
      </c>
      <c r="D8" s="59">
        <f>sum('Daftar Fitur'!I48:I52)</f>
        <v>2150000</v>
      </c>
      <c r="E8" s="74">
        <f>sum('Daftar Fitur'!J48:J52)</f>
        <v>4300000</v>
      </c>
      <c r="F8" s="74">
        <f>sum('Daftar Fitur'!K48:K52)</f>
        <v>27950000</v>
      </c>
      <c r="I8" s="63"/>
      <c r="K8" s="59">
        <f t="shared" si="2"/>
        <v>43000000</v>
      </c>
    </row>
    <row r="9">
      <c r="B9" s="44"/>
      <c r="C9" s="62" t="str">
        <f t="shared" ref="C9:C11" si="3">C18</f>
        <v>Community Collaboration </v>
      </c>
      <c r="D9" s="59">
        <f>sum('Daftar Fitur'!I83:I92)</f>
        <v>4100000</v>
      </c>
      <c r="E9" s="59">
        <f>sum('Daftar Fitur'!J83:J92)</f>
        <v>8200000</v>
      </c>
      <c r="F9" s="59">
        <f>sum('Daftar Fitur'!K83:K92)</f>
        <v>53300000</v>
      </c>
      <c r="I9" s="63"/>
      <c r="K9" s="59">
        <f t="shared" si="2"/>
        <v>82000000</v>
      </c>
    </row>
    <row r="10">
      <c r="B10" s="44"/>
      <c r="C10" s="62" t="str">
        <f t="shared" si="3"/>
        <v>Dashboard Analitik</v>
      </c>
      <c r="D10" s="59">
        <f>'Daftar Fitur'!I116</f>
        <v>600000</v>
      </c>
      <c r="E10" s="59">
        <f>'Daftar Fitur'!J116</f>
        <v>1200000</v>
      </c>
      <c r="I10" s="63"/>
      <c r="K10" s="59">
        <f t="shared" ref="K10:K11" si="4">D10+E10+F19+G19+H28</f>
        <v>12000000</v>
      </c>
    </row>
    <row r="11">
      <c r="B11" s="86"/>
      <c r="C11" s="87" t="str">
        <f t="shared" si="3"/>
        <v>Fasilitator (AI)</v>
      </c>
      <c r="D11" s="90">
        <f>sum('Daftar Fitur'!I117:I123)</f>
        <v>2450000</v>
      </c>
      <c r="E11" s="90">
        <f>sum('Daftar Fitur'!J117:J123)</f>
        <v>4900000</v>
      </c>
      <c r="F11" s="56"/>
      <c r="G11" s="56"/>
      <c r="H11" s="56"/>
      <c r="I11" s="92"/>
      <c r="K11" s="59">
        <f t="shared" si="4"/>
        <v>49000000</v>
      </c>
    </row>
    <row r="12">
      <c r="A12" s="15"/>
      <c r="B12" s="94">
        <v>2.0</v>
      </c>
      <c r="C12" s="22" t="s">
        <v>18</v>
      </c>
      <c r="D12" s="28"/>
      <c r="E12" s="28"/>
      <c r="F12" s="28">
        <f t="shared" ref="F12:G12" si="5">sum(F13:F20)</f>
        <v>39650000</v>
      </c>
      <c r="G12" s="28">
        <f t="shared" si="5"/>
        <v>52500000</v>
      </c>
      <c r="H12" s="28"/>
      <c r="I12" s="37">
        <f>sum(D12:H12)</f>
        <v>92150000</v>
      </c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</row>
    <row r="13">
      <c r="A13" s="15"/>
      <c r="B13" s="44"/>
      <c r="C13" s="62" t="str">
        <f t="shared" ref="C13:C17" si="6">C4</f>
        <v>Komunitas</v>
      </c>
      <c r="D13" s="40"/>
      <c r="E13" s="40"/>
      <c r="F13" s="40"/>
      <c r="G13" s="59">
        <f>sum('Daftar Fitur'!L5:L12)/2</f>
        <v>5100000</v>
      </c>
      <c r="H13" s="40"/>
      <c r="I13" s="99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</row>
    <row r="14">
      <c r="A14" s="15"/>
      <c r="B14" s="44"/>
      <c r="C14" s="62" t="str">
        <f t="shared" si="6"/>
        <v>Keanggotaan</v>
      </c>
      <c r="D14" s="40"/>
      <c r="E14" s="40"/>
      <c r="F14" s="40"/>
      <c r="G14" s="59">
        <f>sum('Daftar Fitur'!L13:L23)/2</f>
        <v>8800000</v>
      </c>
      <c r="H14" s="40"/>
      <c r="I14" s="99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</row>
    <row r="15">
      <c r="A15" s="15"/>
      <c r="B15" s="44"/>
      <c r="C15" s="62" t="str">
        <f t="shared" si="6"/>
        <v>Kepengurusan</v>
      </c>
      <c r="D15" s="40"/>
      <c r="E15" s="40"/>
      <c r="F15" s="40"/>
      <c r="G15" s="59">
        <f>sum('Daftar Fitur'!L24:L34)/2</f>
        <v>9900000</v>
      </c>
      <c r="H15" s="40"/>
      <c r="I15" s="99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</row>
    <row r="16">
      <c r="A16" s="15"/>
      <c r="B16" s="44"/>
      <c r="C16" s="62" t="str">
        <f t="shared" si="6"/>
        <v>Event management</v>
      </c>
      <c r="D16" s="40"/>
      <c r="E16" s="40"/>
      <c r="F16" s="40"/>
      <c r="G16" s="59">
        <f>sum('Daftar Fitur'!L35:L47)/2</f>
        <v>10100000</v>
      </c>
      <c r="H16" s="40"/>
      <c r="I16" s="99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</row>
    <row r="17">
      <c r="A17" s="15"/>
      <c r="B17" s="44"/>
      <c r="C17" s="62" t="str">
        <f t="shared" si="6"/>
        <v>Sertifikat</v>
      </c>
      <c r="D17" s="40"/>
      <c r="E17" s="40"/>
      <c r="F17" s="40"/>
      <c r="G17" s="59">
        <f>sum('Daftar Fitur'!L48:L52)/2</f>
        <v>4300000</v>
      </c>
      <c r="H17" s="40"/>
      <c r="I17" s="99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</row>
    <row r="18">
      <c r="B18" s="44"/>
      <c r="C18" s="62" t="str">
        <f>'Daftar Fitur'!B83</f>
        <v>Community Collaboration </v>
      </c>
      <c r="G18" s="59">
        <f>sum('Daftar Fitur'!L83:L92)/2</f>
        <v>8200000</v>
      </c>
      <c r="I18" s="63"/>
    </row>
    <row r="19">
      <c r="B19" s="44"/>
      <c r="C19" s="105" t="s">
        <v>100</v>
      </c>
      <c r="F19" s="59">
        <f>'Daftar Fitur'!K116</f>
        <v>7800000</v>
      </c>
      <c r="G19" s="59">
        <f>'Daftar Fitur'!L116/2</f>
        <v>1200000</v>
      </c>
      <c r="I19" s="63"/>
    </row>
    <row r="20">
      <c r="B20" s="44"/>
      <c r="C20" s="87" t="str">
        <f>'Daftar Fitur'!B117</f>
        <v>Fasilitator (AI)</v>
      </c>
      <c r="F20" s="90">
        <f>sum('Daftar Fitur'!K117:K123)</f>
        <v>31850000</v>
      </c>
      <c r="G20" s="59">
        <f>sum('Daftar Fitur'!L117:L123)/2</f>
        <v>4900000</v>
      </c>
      <c r="H20" s="56"/>
      <c r="I20" s="92"/>
    </row>
    <row r="21">
      <c r="A21" s="15"/>
      <c r="B21" s="18">
        <v>3.0</v>
      </c>
      <c r="C21" s="107" t="s">
        <v>18</v>
      </c>
      <c r="D21" s="108"/>
      <c r="E21" s="108"/>
      <c r="F21" s="108"/>
      <c r="G21" s="108"/>
      <c r="H21" s="108">
        <f>sum(H22:H29)</f>
        <v>52500000</v>
      </c>
      <c r="I21" s="111">
        <f>sum(D21:H21)</f>
        <v>52500000</v>
      </c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</row>
    <row r="22">
      <c r="B22" s="44"/>
      <c r="C22" s="62" t="str">
        <f t="shared" ref="C22:C27" si="7">C13</f>
        <v>Komunitas</v>
      </c>
      <c r="H22" s="59">
        <f>sum('Daftar Fitur'!L5:L12)/2</f>
        <v>5100000</v>
      </c>
      <c r="I22" s="63"/>
    </row>
    <row r="23">
      <c r="B23" s="44"/>
      <c r="C23" s="62" t="str">
        <f t="shared" si="7"/>
        <v>Keanggotaan</v>
      </c>
      <c r="H23" s="59">
        <f>sum('Daftar Fitur'!L13:L23)/2</f>
        <v>8800000</v>
      </c>
      <c r="I23" s="63"/>
    </row>
    <row r="24">
      <c r="B24" s="44"/>
      <c r="C24" s="62" t="str">
        <f t="shared" si="7"/>
        <v>Kepengurusan</v>
      </c>
      <c r="H24" s="59">
        <f>sum('Daftar Fitur'!L24:L34)/2</f>
        <v>9900000</v>
      </c>
      <c r="I24" s="63"/>
    </row>
    <row r="25">
      <c r="B25" s="44"/>
      <c r="C25" s="62" t="str">
        <f t="shared" si="7"/>
        <v>Event management</v>
      </c>
      <c r="H25" s="59">
        <f>sum('Daftar Fitur'!L35:L47)/2</f>
        <v>10100000</v>
      </c>
      <c r="I25" s="63"/>
    </row>
    <row r="26">
      <c r="B26" s="44"/>
      <c r="C26" s="62" t="str">
        <f t="shared" si="7"/>
        <v>Sertifikat</v>
      </c>
      <c r="H26" s="114">
        <f>sum('Daftar Fitur'!L48:L52)/2</f>
        <v>4300000</v>
      </c>
      <c r="I26" s="63"/>
    </row>
    <row r="27">
      <c r="B27" s="44"/>
      <c r="C27" s="62" t="str">
        <f t="shared" si="7"/>
        <v>Community Collaboration </v>
      </c>
      <c r="H27" s="59">
        <f>sum('Daftar Fitur'!L83:L92)/2</f>
        <v>8200000</v>
      </c>
      <c r="I27" s="63"/>
    </row>
    <row r="28">
      <c r="B28" s="44"/>
      <c r="C28" s="52" t="s">
        <v>100</v>
      </c>
      <c r="H28" s="59">
        <f>'Daftar Fitur'!L116/2</f>
        <v>1200000</v>
      </c>
      <c r="I28" s="63"/>
    </row>
    <row r="29">
      <c r="B29" s="86"/>
      <c r="C29" s="87" t="str">
        <f>C20</f>
        <v>Fasilitator (AI)</v>
      </c>
      <c r="D29" s="56"/>
      <c r="E29" s="56"/>
      <c r="F29" s="56"/>
      <c r="G29" s="56"/>
      <c r="H29" s="90">
        <f>sum('Daftar Fitur'!L117:L123)/2</f>
        <v>4900000</v>
      </c>
      <c r="I29" s="92"/>
    </row>
    <row r="30">
      <c r="B30" s="117" t="s">
        <v>30</v>
      </c>
      <c r="C30" s="84"/>
      <c r="D30" s="84"/>
      <c r="E30" s="84"/>
      <c r="F30" s="84"/>
      <c r="G30" s="84"/>
      <c r="H30" s="84"/>
      <c r="I30" s="118">
        <f>I3+I12+I21</f>
        <v>525000000</v>
      </c>
    </row>
  </sheetData>
  <mergeCells count="4">
    <mergeCell ref="B3:B11"/>
    <mergeCell ref="B12:B20"/>
    <mergeCell ref="B21:B29"/>
    <mergeCell ref="B30:H30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75"/>
  <cols>
    <col customWidth="1" min="1" max="1" width="3.5"/>
    <col customWidth="1" min="2" max="2" width="25.0"/>
    <col customWidth="1" min="3" max="3" width="62.13"/>
    <col customWidth="1" min="4" max="4" width="31.5"/>
    <col customWidth="1" min="7" max="7" width="13.13"/>
    <col customWidth="1" min="9" max="9" width="13.88"/>
  </cols>
  <sheetData>
    <row r="3">
      <c r="B3" s="1" t="s">
        <v>1</v>
      </c>
      <c r="C3" s="1" t="s">
        <v>3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</row>
    <row r="4">
      <c r="B4" s="5" t="s">
        <v>11</v>
      </c>
      <c r="C4" s="8"/>
      <c r="D4" s="8"/>
      <c r="E4" s="9"/>
      <c r="F4" s="5"/>
      <c r="G4" s="20">
        <f>G5+G11</f>
        <v>54300000</v>
      </c>
      <c r="H4" s="20">
        <f t="shared" ref="H4:H10" si="1">G4*12</f>
        <v>651600000</v>
      </c>
      <c r="I4" s="27">
        <f t="shared" ref="I4:I10" si="2">H4*3</f>
        <v>1954800000</v>
      </c>
    </row>
    <row r="5">
      <c r="A5" s="30"/>
      <c r="B5" s="31" t="s">
        <v>20</v>
      </c>
      <c r="C5" s="31" t="s">
        <v>21</v>
      </c>
      <c r="D5" s="33"/>
      <c r="E5" s="35"/>
      <c r="F5" s="33"/>
      <c r="G5" s="36">
        <f>sum(G6:G10)</f>
        <v>12000000</v>
      </c>
      <c r="H5" s="38">
        <f t="shared" si="1"/>
        <v>144000000</v>
      </c>
      <c r="I5" s="36">
        <f t="shared" si="2"/>
        <v>432000000</v>
      </c>
      <c r="J5" s="42">
        <f>G5/G4</f>
        <v>0.2209944751</v>
      </c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</row>
    <row r="6">
      <c r="B6" s="1" t="s">
        <v>29</v>
      </c>
      <c r="C6" s="1" t="s">
        <v>31</v>
      </c>
      <c r="D6" s="47" t="s">
        <v>32</v>
      </c>
      <c r="E6" s="49">
        <v>1.0</v>
      </c>
      <c r="F6" s="47">
        <v>2400000.0</v>
      </c>
      <c r="G6" s="47">
        <f t="shared" ref="G6:G10" si="3">E6*F6</f>
        <v>2400000</v>
      </c>
      <c r="H6" s="47">
        <f t="shared" si="1"/>
        <v>28800000</v>
      </c>
      <c r="I6" s="51">
        <f t="shared" si="2"/>
        <v>86400000</v>
      </c>
    </row>
    <row r="7">
      <c r="B7" s="1" t="s">
        <v>34</v>
      </c>
      <c r="C7" s="1" t="s">
        <v>35</v>
      </c>
      <c r="D7" s="47" t="s">
        <v>37</v>
      </c>
      <c r="E7" s="49">
        <v>1.0</v>
      </c>
      <c r="F7" s="47">
        <v>2400000.0</v>
      </c>
      <c r="G7" s="47">
        <f t="shared" si="3"/>
        <v>2400000</v>
      </c>
      <c r="H7" s="47">
        <f t="shared" si="1"/>
        <v>28800000</v>
      </c>
      <c r="I7" s="51">
        <f t="shared" si="2"/>
        <v>86400000</v>
      </c>
    </row>
    <row r="8">
      <c r="B8" s="1" t="s">
        <v>38</v>
      </c>
      <c r="C8" s="1" t="s">
        <v>39</v>
      </c>
      <c r="D8" s="47" t="s">
        <v>40</v>
      </c>
      <c r="E8" s="49">
        <v>1.0</v>
      </c>
      <c r="F8" s="47">
        <v>2400000.0</v>
      </c>
      <c r="G8" s="47">
        <f t="shared" si="3"/>
        <v>2400000</v>
      </c>
      <c r="H8" s="47">
        <f t="shared" si="1"/>
        <v>28800000</v>
      </c>
      <c r="I8" s="51">
        <f t="shared" si="2"/>
        <v>86400000</v>
      </c>
    </row>
    <row r="9">
      <c r="B9" s="1" t="s">
        <v>42</v>
      </c>
      <c r="C9" s="1" t="s">
        <v>43</v>
      </c>
      <c r="D9" s="47" t="s">
        <v>40</v>
      </c>
      <c r="E9" s="49">
        <v>1.0</v>
      </c>
      <c r="F9" s="47">
        <v>2400000.0</v>
      </c>
      <c r="G9" s="47">
        <f t="shared" si="3"/>
        <v>2400000</v>
      </c>
      <c r="H9" s="47">
        <f t="shared" si="1"/>
        <v>28800000</v>
      </c>
      <c r="I9" s="51">
        <f t="shared" si="2"/>
        <v>86400000</v>
      </c>
    </row>
    <row r="10">
      <c r="B10" s="1" t="s">
        <v>44</v>
      </c>
      <c r="C10" s="1" t="s">
        <v>45</v>
      </c>
      <c r="D10" s="1" t="s">
        <v>46</v>
      </c>
      <c r="E10" s="49">
        <v>1.0</v>
      </c>
      <c r="F10" s="47">
        <v>2400000.0</v>
      </c>
      <c r="G10" s="47">
        <f t="shared" si="3"/>
        <v>2400000</v>
      </c>
      <c r="H10" s="47">
        <f t="shared" si="1"/>
        <v>28800000</v>
      </c>
      <c r="I10" s="51">
        <f t="shared" si="2"/>
        <v>86400000</v>
      </c>
    </row>
    <row r="11">
      <c r="A11" s="30"/>
      <c r="B11" s="31" t="s">
        <v>47</v>
      </c>
      <c r="C11" s="31"/>
      <c r="D11" s="31"/>
      <c r="E11" s="60"/>
      <c r="F11" s="38"/>
      <c r="G11" s="38">
        <f t="shared" ref="G11:I11" si="4">G12+G39+G42</f>
        <v>42300000</v>
      </c>
      <c r="H11" s="38">
        <f t="shared" si="4"/>
        <v>507600000</v>
      </c>
      <c r="I11" s="38">
        <f t="shared" si="4"/>
        <v>1522800000</v>
      </c>
      <c r="J11" s="42">
        <f>G11/G4</f>
        <v>0.7790055249</v>
      </c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</row>
    <row r="12">
      <c r="A12" s="30"/>
      <c r="B12" s="65" t="s">
        <v>49</v>
      </c>
      <c r="C12" s="65" t="s">
        <v>51</v>
      </c>
      <c r="D12" s="66"/>
      <c r="E12" s="67"/>
      <c r="F12" s="68"/>
      <c r="G12" s="68">
        <f>sum(G14,G20,G24,G29,G33)*20000+G36</f>
        <v>42300000</v>
      </c>
      <c r="H12" s="70">
        <f t="shared" ref="H12:H38" si="5">G12*12</f>
        <v>507600000</v>
      </c>
      <c r="I12" s="68">
        <f t="shared" ref="I12:I38" si="6">H12*3</f>
        <v>1522800000</v>
      </c>
      <c r="J12" s="42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</row>
    <row r="13">
      <c r="A13" s="30"/>
      <c r="B13" s="71" t="s">
        <v>56</v>
      </c>
      <c r="C13" s="30"/>
      <c r="D13" s="30"/>
      <c r="E13" s="72"/>
      <c r="F13" s="73"/>
      <c r="G13" s="73">
        <f>sum(G14,G20,G24,G29,G33)</f>
        <v>2040</v>
      </c>
      <c r="H13" s="73">
        <f t="shared" si="5"/>
        <v>24480</v>
      </c>
      <c r="I13" s="73">
        <f t="shared" si="6"/>
        <v>73440</v>
      </c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</row>
    <row r="14">
      <c r="A14" s="30"/>
      <c r="B14" s="77" t="s">
        <v>29</v>
      </c>
      <c r="C14" s="78"/>
      <c r="D14" s="78"/>
      <c r="E14" s="79"/>
      <c r="F14" s="80"/>
      <c r="G14" s="80">
        <f>sum(G15:G19)</f>
        <v>485</v>
      </c>
      <c r="H14" s="80">
        <f t="shared" si="5"/>
        <v>5820</v>
      </c>
      <c r="I14" s="83">
        <f t="shared" si="6"/>
        <v>17460</v>
      </c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</row>
    <row r="15">
      <c r="B15" s="1" t="s">
        <v>62</v>
      </c>
      <c r="C15" s="1" t="s">
        <v>63</v>
      </c>
      <c r="D15" s="1" t="s">
        <v>64</v>
      </c>
      <c r="E15" s="49">
        <v>7.0</v>
      </c>
      <c r="F15" s="91">
        <v>20.0</v>
      </c>
      <c r="G15" s="91">
        <f>E15*F15</f>
        <v>140</v>
      </c>
      <c r="H15" s="91">
        <f t="shared" si="5"/>
        <v>1680</v>
      </c>
      <c r="I15" s="93">
        <f t="shared" si="6"/>
        <v>5040</v>
      </c>
    </row>
    <row r="16">
      <c r="B16" s="1" t="s">
        <v>66</v>
      </c>
      <c r="C16" s="1" t="s">
        <v>67</v>
      </c>
      <c r="D16" s="1" t="s">
        <v>64</v>
      </c>
      <c r="E16" s="49">
        <v>7.0</v>
      </c>
      <c r="F16" s="91">
        <v>10.0</v>
      </c>
      <c r="G16" s="91">
        <f t="shared" ref="G16:G18" si="7">15*7</f>
        <v>105</v>
      </c>
      <c r="H16" s="91">
        <f t="shared" si="5"/>
        <v>1260</v>
      </c>
      <c r="I16" s="93">
        <f t="shared" si="6"/>
        <v>3780</v>
      </c>
    </row>
    <row r="17">
      <c r="B17" s="1" t="s">
        <v>68</v>
      </c>
      <c r="C17" s="1" t="s">
        <v>69</v>
      </c>
      <c r="D17" s="1" t="s">
        <v>70</v>
      </c>
      <c r="E17" s="49">
        <v>1.0</v>
      </c>
      <c r="F17" s="91">
        <v>20.0</v>
      </c>
      <c r="G17" s="91">
        <f t="shared" si="7"/>
        <v>105</v>
      </c>
      <c r="H17" s="91">
        <f t="shared" si="5"/>
        <v>1260</v>
      </c>
      <c r="I17" s="93">
        <f t="shared" si="6"/>
        <v>3780</v>
      </c>
    </row>
    <row r="18">
      <c r="B18" s="1" t="s">
        <v>72</v>
      </c>
      <c r="C18" s="1" t="s">
        <v>73</v>
      </c>
      <c r="D18" s="1" t="s">
        <v>70</v>
      </c>
      <c r="E18" s="49">
        <v>1.0</v>
      </c>
      <c r="F18" s="91">
        <v>25.0</v>
      </c>
      <c r="G18" s="91">
        <f t="shared" si="7"/>
        <v>105</v>
      </c>
      <c r="H18" s="91">
        <f t="shared" si="5"/>
        <v>1260</v>
      </c>
      <c r="I18" s="93">
        <f t="shared" si="6"/>
        <v>3780</v>
      </c>
    </row>
    <row r="19">
      <c r="B19" s="1" t="s">
        <v>75</v>
      </c>
      <c r="C19" s="1" t="s">
        <v>76</v>
      </c>
      <c r="D19" s="1" t="s">
        <v>70</v>
      </c>
      <c r="E19" s="49">
        <v>1.0</v>
      </c>
      <c r="F19" s="91">
        <v>30.0</v>
      </c>
      <c r="G19" s="91">
        <f>E19*F19</f>
        <v>30</v>
      </c>
      <c r="H19" s="91">
        <f t="shared" si="5"/>
        <v>360</v>
      </c>
      <c r="I19" s="93">
        <f t="shared" si="6"/>
        <v>1080</v>
      </c>
    </row>
    <row r="20">
      <c r="A20" s="30"/>
      <c r="B20" s="77" t="s">
        <v>77</v>
      </c>
      <c r="C20" s="78"/>
      <c r="D20" s="78"/>
      <c r="E20" s="97"/>
      <c r="F20" s="98"/>
      <c r="G20" s="98">
        <f>sum(G21:G23)</f>
        <v>540</v>
      </c>
      <c r="H20" s="101">
        <f t="shared" si="5"/>
        <v>6480</v>
      </c>
      <c r="I20" s="98">
        <f t="shared" si="6"/>
        <v>19440</v>
      </c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</row>
    <row r="21">
      <c r="B21" s="1" t="s">
        <v>81</v>
      </c>
      <c r="C21" s="1" t="s">
        <v>82</v>
      </c>
      <c r="D21" s="1" t="s">
        <v>83</v>
      </c>
      <c r="E21" s="49">
        <v>4.0</v>
      </c>
      <c r="F21" s="91">
        <v>30.0</v>
      </c>
      <c r="G21" s="91">
        <f t="shared" ref="G21:G23" si="8">E21*F21</f>
        <v>120</v>
      </c>
      <c r="H21" s="91">
        <f t="shared" si="5"/>
        <v>1440</v>
      </c>
      <c r="I21" s="91">
        <f t="shared" si="6"/>
        <v>4320</v>
      </c>
    </row>
    <row r="22">
      <c r="B22" s="1" t="s">
        <v>84</v>
      </c>
      <c r="C22" s="1" t="s">
        <v>85</v>
      </c>
      <c r="D22" s="1" t="s">
        <v>64</v>
      </c>
      <c r="E22" s="49">
        <v>8.0</v>
      </c>
      <c r="F22" s="91">
        <v>20.0</v>
      </c>
      <c r="G22" s="91">
        <f t="shared" si="8"/>
        <v>160</v>
      </c>
      <c r="H22" s="91">
        <f t="shared" si="5"/>
        <v>1920</v>
      </c>
      <c r="I22" s="91">
        <f t="shared" si="6"/>
        <v>5760</v>
      </c>
    </row>
    <row r="23">
      <c r="B23" s="1" t="s">
        <v>86</v>
      </c>
      <c r="C23" s="1" t="s">
        <v>87</v>
      </c>
      <c r="D23" s="1" t="s">
        <v>88</v>
      </c>
      <c r="E23" s="49">
        <v>2.0</v>
      </c>
      <c r="F23" s="91">
        <v>130.0</v>
      </c>
      <c r="G23" s="91">
        <f t="shared" si="8"/>
        <v>260</v>
      </c>
      <c r="H23" s="91">
        <f t="shared" si="5"/>
        <v>3120</v>
      </c>
      <c r="I23" s="91">
        <f t="shared" si="6"/>
        <v>9360</v>
      </c>
    </row>
    <row r="24">
      <c r="A24" s="30"/>
      <c r="B24" s="77" t="s">
        <v>90</v>
      </c>
      <c r="C24" s="78"/>
      <c r="D24" s="78"/>
      <c r="E24" s="97"/>
      <c r="F24" s="98"/>
      <c r="G24" s="98">
        <f>sum(G25:G28)</f>
        <v>95</v>
      </c>
      <c r="H24" s="101">
        <f t="shared" si="5"/>
        <v>1140</v>
      </c>
      <c r="I24" s="98">
        <f t="shared" si="6"/>
        <v>3420</v>
      </c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</row>
    <row r="25">
      <c r="B25" s="1" t="s">
        <v>91</v>
      </c>
      <c r="C25" s="1" t="s">
        <v>92</v>
      </c>
      <c r="D25" s="1" t="s">
        <v>93</v>
      </c>
      <c r="E25" s="49">
        <v>2.0</v>
      </c>
      <c r="F25" s="91">
        <v>20.0</v>
      </c>
      <c r="G25" s="91">
        <f t="shared" ref="G25:G28" si="9">E25*F25</f>
        <v>40</v>
      </c>
      <c r="H25" s="91">
        <f t="shared" si="5"/>
        <v>480</v>
      </c>
      <c r="I25" s="93">
        <f t="shared" si="6"/>
        <v>1440</v>
      </c>
    </row>
    <row r="26">
      <c r="B26" s="1" t="s">
        <v>95</v>
      </c>
      <c r="C26" s="1" t="s">
        <v>96</v>
      </c>
      <c r="D26" s="1" t="s">
        <v>93</v>
      </c>
      <c r="E26" s="49">
        <v>2.0</v>
      </c>
      <c r="F26" s="91">
        <v>0.0</v>
      </c>
      <c r="G26" s="91">
        <f t="shared" si="9"/>
        <v>0</v>
      </c>
      <c r="H26" s="91">
        <f t="shared" si="5"/>
        <v>0</v>
      </c>
      <c r="I26" s="93">
        <f t="shared" si="6"/>
        <v>0</v>
      </c>
    </row>
    <row r="27">
      <c r="B27" s="1" t="s">
        <v>98</v>
      </c>
      <c r="C27" s="1" t="s">
        <v>99</v>
      </c>
      <c r="D27" s="1" t="s">
        <v>93</v>
      </c>
      <c r="E27" s="49">
        <v>2.0</v>
      </c>
      <c r="F27" s="91">
        <v>20.0</v>
      </c>
      <c r="G27" s="91">
        <f t="shared" si="9"/>
        <v>40</v>
      </c>
      <c r="H27" s="91">
        <f t="shared" si="5"/>
        <v>480</v>
      </c>
      <c r="I27" s="93">
        <f t="shared" si="6"/>
        <v>1440</v>
      </c>
    </row>
    <row r="28">
      <c r="B28" s="1" t="s">
        <v>102</v>
      </c>
      <c r="C28" s="1" t="s">
        <v>103</v>
      </c>
      <c r="D28" s="1" t="s">
        <v>93</v>
      </c>
      <c r="E28" s="49">
        <v>1.0</v>
      </c>
      <c r="F28" s="91">
        <v>15.0</v>
      </c>
      <c r="G28" s="91">
        <f t="shared" si="9"/>
        <v>15</v>
      </c>
      <c r="H28" s="91">
        <f t="shared" si="5"/>
        <v>180</v>
      </c>
      <c r="I28" s="93">
        <f t="shared" si="6"/>
        <v>540</v>
      </c>
    </row>
    <row r="29">
      <c r="A29" s="30"/>
      <c r="B29" s="77" t="s">
        <v>104</v>
      </c>
      <c r="C29" s="78"/>
      <c r="D29" s="78"/>
      <c r="E29" s="97"/>
      <c r="F29" s="83"/>
      <c r="G29" s="83">
        <f>sum(G30:G32)</f>
        <v>160</v>
      </c>
      <c r="H29" s="80">
        <f t="shared" si="5"/>
        <v>1920</v>
      </c>
      <c r="I29" s="83">
        <f t="shared" si="6"/>
        <v>5760</v>
      </c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</row>
    <row r="30">
      <c r="B30" s="1" t="s">
        <v>105</v>
      </c>
      <c r="C30" s="1" t="s">
        <v>106</v>
      </c>
      <c r="D30" s="1" t="s">
        <v>107</v>
      </c>
      <c r="E30" s="49">
        <v>1.0</v>
      </c>
      <c r="F30" s="109">
        <v>40.0</v>
      </c>
      <c r="G30" s="109">
        <f t="shared" ref="G30:G32" si="10">E30*F30</f>
        <v>40</v>
      </c>
      <c r="H30" s="109">
        <f t="shared" si="5"/>
        <v>480</v>
      </c>
      <c r="I30" s="110">
        <f t="shared" si="6"/>
        <v>1440</v>
      </c>
    </row>
    <row r="31">
      <c r="B31" s="1" t="s">
        <v>108</v>
      </c>
      <c r="C31" s="1" t="s">
        <v>109</v>
      </c>
      <c r="D31" s="1" t="s">
        <v>107</v>
      </c>
      <c r="E31" s="49">
        <v>1.0</v>
      </c>
      <c r="F31" s="109">
        <v>0.0</v>
      </c>
      <c r="G31" s="109">
        <f t="shared" si="10"/>
        <v>0</v>
      </c>
      <c r="H31" s="109">
        <f t="shared" si="5"/>
        <v>0</v>
      </c>
      <c r="I31" s="110">
        <f t="shared" si="6"/>
        <v>0</v>
      </c>
    </row>
    <row r="32">
      <c r="B32" s="1" t="s">
        <v>110</v>
      </c>
      <c r="C32" s="1" t="s">
        <v>111</v>
      </c>
      <c r="D32" s="1" t="s">
        <v>112</v>
      </c>
      <c r="E32" s="49">
        <v>3.0</v>
      </c>
      <c r="F32" s="109">
        <v>40.0</v>
      </c>
      <c r="G32" s="109">
        <f t="shared" si="10"/>
        <v>120</v>
      </c>
      <c r="H32" s="109">
        <f t="shared" si="5"/>
        <v>1440</v>
      </c>
      <c r="I32" s="110">
        <f t="shared" si="6"/>
        <v>4320</v>
      </c>
    </row>
    <row r="33">
      <c r="A33" s="30"/>
      <c r="B33" s="77" t="s">
        <v>113</v>
      </c>
      <c r="C33" s="78"/>
      <c r="D33" s="78"/>
      <c r="E33" s="97"/>
      <c r="F33" s="83"/>
      <c r="G33" s="83">
        <f>sum(G34:G35)</f>
        <v>760</v>
      </c>
      <c r="H33" s="80">
        <f t="shared" si="5"/>
        <v>9120</v>
      </c>
      <c r="I33" s="83">
        <f t="shared" si="6"/>
        <v>27360</v>
      </c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</row>
    <row r="34">
      <c r="B34" s="1" t="s">
        <v>114</v>
      </c>
      <c r="C34" s="1" t="s">
        <v>115</v>
      </c>
      <c r="D34" s="1" t="s">
        <v>64</v>
      </c>
      <c r="E34" s="49">
        <v>7.0</v>
      </c>
      <c r="F34" s="109">
        <v>80.0</v>
      </c>
      <c r="G34" s="109">
        <f t="shared" ref="G34:G35" si="11">E34*F34</f>
        <v>560</v>
      </c>
      <c r="H34" s="109">
        <f t="shared" si="5"/>
        <v>6720</v>
      </c>
      <c r="I34" s="110">
        <f t="shared" si="6"/>
        <v>20160</v>
      </c>
    </row>
    <row r="35">
      <c r="B35" s="1" t="s">
        <v>116</v>
      </c>
      <c r="C35" s="1" t="s">
        <v>117</v>
      </c>
      <c r="D35" s="1" t="s">
        <v>118</v>
      </c>
      <c r="E35" s="49">
        <v>1.0</v>
      </c>
      <c r="F35" s="109">
        <v>200.0</v>
      </c>
      <c r="G35" s="109">
        <f t="shared" si="11"/>
        <v>200</v>
      </c>
      <c r="H35" s="109">
        <f t="shared" si="5"/>
        <v>2400</v>
      </c>
      <c r="I35" s="110">
        <f t="shared" si="6"/>
        <v>7200</v>
      </c>
    </row>
    <row r="36">
      <c r="A36" s="30"/>
      <c r="B36" s="77" t="s">
        <v>119</v>
      </c>
      <c r="C36" s="78"/>
      <c r="D36" s="78"/>
      <c r="E36" s="97"/>
      <c r="F36" s="78"/>
      <c r="G36" s="115">
        <f>sum(G37:G38)</f>
        <v>1500000</v>
      </c>
      <c r="H36" s="116">
        <f t="shared" si="5"/>
        <v>18000000</v>
      </c>
      <c r="I36" s="115">
        <f t="shared" si="6"/>
        <v>54000000</v>
      </c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</row>
    <row r="37">
      <c r="B37" s="1" t="s">
        <v>120</v>
      </c>
      <c r="C37" s="1" t="s">
        <v>121</v>
      </c>
      <c r="D37" s="1" t="s">
        <v>122</v>
      </c>
      <c r="E37" s="49">
        <v>1.0</v>
      </c>
      <c r="F37" s="47">
        <v>1000000.0</v>
      </c>
      <c r="G37" s="47">
        <f t="shared" ref="G37:G38" si="12">E37*F37</f>
        <v>1000000</v>
      </c>
      <c r="H37" s="47">
        <f t="shared" si="5"/>
        <v>12000000</v>
      </c>
      <c r="I37" s="51">
        <f t="shared" si="6"/>
        <v>36000000</v>
      </c>
    </row>
    <row r="38">
      <c r="B38" s="1" t="s">
        <v>123</v>
      </c>
      <c r="C38" s="1" t="s">
        <v>124</v>
      </c>
      <c r="D38" s="1" t="s">
        <v>122</v>
      </c>
      <c r="E38" s="49">
        <v>1.0</v>
      </c>
      <c r="F38" s="47">
        <v>500000.0</v>
      </c>
      <c r="G38" s="47">
        <f t="shared" si="12"/>
        <v>500000</v>
      </c>
      <c r="H38" s="47">
        <f t="shared" si="5"/>
        <v>6000000</v>
      </c>
      <c r="I38" s="51">
        <f t="shared" si="6"/>
        <v>18000000</v>
      </c>
    </row>
    <row r="39">
      <c r="A39" s="30"/>
      <c r="B39" s="119"/>
      <c r="C39" s="119"/>
      <c r="D39" s="120"/>
      <c r="E39" s="120"/>
      <c r="F39" s="120"/>
      <c r="G39" s="120"/>
      <c r="H39" s="120"/>
      <c r="I39" s="12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</row>
    <row r="40">
      <c r="B40" s="122"/>
      <c r="C40" s="122"/>
      <c r="D40" s="122"/>
      <c r="E40" s="122"/>
      <c r="F40" s="123"/>
      <c r="G40" s="123"/>
      <c r="H40" s="123"/>
      <c r="I40" s="123"/>
    </row>
    <row r="41">
      <c r="B41" s="122"/>
      <c r="C41" s="122"/>
      <c r="D41" s="122"/>
      <c r="E41" s="122"/>
      <c r="F41" s="123"/>
      <c r="G41" s="123"/>
      <c r="H41" s="122"/>
      <c r="I41" s="122"/>
    </row>
    <row r="42">
      <c r="A42" s="30"/>
      <c r="B42" s="119"/>
      <c r="C42" s="120"/>
      <c r="D42" s="124"/>
      <c r="F42" s="120"/>
      <c r="G42" s="120"/>
      <c r="H42" s="120"/>
      <c r="I42" s="12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</row>
    <row r="43">
      <c r="B43" s="122"/>
      <c r="C43" s="122"/>
      <c r="D43" s="122"/>
      <c r="E43" s="122"/>
      <c r="F43" s="123"/>
      <c r="G43" s="123"/>
      <c r="H43" s="123"/>
      <c r="I43" s="123"/>
    </row>
    <row r="44">
      <c r="B44" s="122"/>
      <c r="C44" s="122"/>
      <c r="D44" s="122"/>
      <c r="E44" s="122"/>
      <c r="F44" s="123"/>
      <c r="G44" s="123"/>
      <c r="H44" s="123"/>
      <c r="I44" s="123"/>
    </row>
    <row r="45">
      <c r="B45" s="122"/>
      <c r="C45" s="122"/>
      <c r="D45" s="122"/>
      <c r="E45" s="122"/>
      <c r="F45" s="123"/>
      <c r="G45" s="123"/>
      <c r="H45" s="123"/>
      <c r="I45" s="123"/>
    </row>
  </sheetData>
  <mergeCells count="1">
    <mergeCell ref="D42:E42"/>
  </mergeCells>
  <conditionalFormatting sqref="A48:AC64">
    <cfRule type="notContainsBlanks" dxfId="5" priority="1">
      <formula>LEN(TRIM(A48))&gt;0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15.25"/>
    <col customWidth="1" min="3" max="3" width="51.75"/>
    <col customWidth="1" min="4" max="4" width="13.25"/>
    <col customWidth="1" min="5" max="5" width="9.25"/>
    <col customWidth="1" min="6" max="6" width="28.0"/>
  </cols>
  <sheetData>
    <row r="2">
      <c r="B2" s="2" t="s">
        <v>2</v>
      </c>
      <c r="C2" s="4"/>
      <c r="D2" s="7"/>
      <c r="E2" s="10" t="s">
        <v>15</v>
      </c>
      <c r="F2" s="11"/>
      <c r="G2" s="13"/>
      <c r="H2" s="14"/>
    </row>
    <row r="3" ht="24.0" customHeight="1">
      <c r="B3" s="16"/>
      <c r="D3" s="17"/>
      <c r="E3" s="19"/>
      <c r="F3" s="11"/>
      <c r="G3" s="11"/>
      <c r="H3" s="21"/>
    </row>
    <row r="4">
      <c r="B4" s="23"/>
      <c r="D4" s="17"/>
      <c r="E4" s="23"/>
      <c r="H4" s="17"/>
    </row>
    <row r="5">
      <c r="B5" s="24"/>
      <c r="C5" s="25"/>
      <c r="D5" s="26"/>
      <c r="E5" s="24"/>
      <c r="F5" s="25"/>
      <c r="G5" s="25"/>
      <c r="H5" s="26"/>
    </row>
    <row r="6">
      <c r="B6" s="1"/>
      <c r="C6" s="1"/>
      <c r="D6" s="1"/>
      <c r="E6" s="1"/>
      <c r="F6" s="1"/>
      <c r="G6" s="1"/>
      <c r="H6" s="1"/>
    </row>
    <row r="7">
      <c r="A7" s="29"/>
      <c r="B7" s="32" t="s">
        <v>1</v>
      </c>
      <c r="C7" s="34" t="s">
        <v>22</v>
      </c>
      <c r="D7" s="32" t="s">
        <v>6</v>
      </c>
      <c r="E7" s="21"/>
      <c r="F7" s="34" t="s">
        <v>23</v>
      </c>
      <c r="G7" s="34" t="s">
        <v>25</v>
      </c>
      <c r="H7" s="41" t="s">
        <v>18</v>
      </c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</row>
    <row r="8">
      <c r="A8" s="29"/>
      <c r="B8" s="24"/>
      <c r="C8" s="25"/>
      <c r="D8" s="45" t="s">
        <v>28</v>
      </c>
      <c r="E8" s="50" t="s">
        <v>33</v>
      </c>
      <c r="F8" s="25"/>
      <c r="G8" s="25"/>
      <c r="H8" s="26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</row>
    <row r="9">
      <c r="B9" s="52" t="s">
        <v>36</v>
      </c>
      <c r="C9" s="1" t="s">
        <v>41</v>
      </c>
      <c r="D9" s="57" t="str">
        <f t="shared" ref="D9:D15" si="1">if(C9="Memberikan feedback",$D$2,$H$2)</f>
        <v/>
      </c>
      <c r="E9" s="57"/>
      <c r="F9" s="1" t="s">
        <v>48</v>
      </c>
      <c r="G9" s="49" t="str">
        <f t="shared" ref="G9:G15" si="2">ifs(F9="Komunitas",'Biaya Talenta'!$E$4,F9="Tech Writer",'Biaya Talenta'!$E$5,F9="UIUX Designer",'Biaya Talenta'!$E$6,F9="Junior Programmer Front End",'Biaya Talenta'!$E$7, F9="Senior Programmer Back End",'Biaya Talenta'!$E$8)</f>
        <v>#REF!</v>
      </c>
      <c r="H9" s="64" t="str">
        <f t="shared" ref="H9:H15" si="3">D9*E9*G9</f>
        <v>#REF!</v>
      </c>
    </row>
    <row r="10">
      <c r="B10" s="52" t="s">
        <v>50</v>
      </c>
      <c r="C10" s="1" t="s">
        <v>52</v>
      </c>
      <c r="D10" s="57" t="str">
        <f t="shared" si="1"/>
        <v/>
      </c>
      <c r="E10" s="57"/>
      <c r="F10" s="1" t="s">
        <v>53</v>
      </c>
      <c r="G10" s="49" t="str">
        <f t="shared" si="2"/>
        <v>#REF!</v>
      </c>
      <c r="H10" s="64" t="str">
        <f t="shared" si="3"/>
        <v>#REF!</v>
      </c>
    </row>
    <row r="11">
      <c r="B11" s="69"/>
      <c r="C11" s="1" t="s">
        <v>54</v>
      </c>
      <c r="D11" s="57" t="str">
        <f t="shared" si="1"/>
        <v/>
      </c>
      <c r="E11" s="57"/>
      <c r="F11" s="1" t="s">
        <v>55</v>
      </c>
      <c r="G11" s="49" t="str">
        <f t="shared" si="2"/>
        <v>#REF!</v>
      </c>
      <c r="H11" s="64" t="str">
        <f t="shared" si="3"/>
        <v>#REF!</v>
      </c>
    </row>
    <row r="12">
      <c r="B12" s="69"/>
      <c r="C12" s="1" t="s">
        <v>41</v>
      </c>
      <c r="D12" s="57" t="str">
        <f t="shared" si="1"/>
        <v/>
      </c>
      <c r="E12" s="57"/>
      <c r="F12" s="1" t="s">
        <v>48</v>
      </c>
      <c r="G12" s="49" t="str">
        <f t="shared" si="2"/>
        <v>#REF!</v>
      </c>
      <c r="H12" s="64" t="str">
        <f t="shared" si="3"/>
        <v>#REF!</v>
      </c>
    </row>
    <row r="13">
      <c r="B13" s="52" t="s">
        <v>57</v>
      </c>
      <c r="C13" s="1" t="s">
        <v>39</v>
      </c>
      <c r="D13" s="57" t="str">
        <f t="shared" si="1"/>
        <v/>
      </c>
      <c r="E13" s="57"/>
      <c r="F13" s="1" t="s">
        <v>58</v>
      </c>
      <c r="G13" s="49" t="str">
        <f t="shared" si="2"/>
        <v>#REF!</v>
      </c>
      <c r="H13" s="64" t="str">
        <f t="shared" si="3"/>
        <v>#REF!</v>
      </c>
    </row>
    <row r="14">
      <c r="B14" s="69"/>
      <c r="C14" s="1" t="s">
        <v>43</v>
      </c>
      <c r="D14" s="57" t="str">
        <f t="shared" si="1"/>
        <v/>
      </c>
      <c r="E14" s="57"/>
      <c r="F14" s="1" t="s">
        <v>59</v>
      </c>
      <c r="G14" s="49" t="str">
        <f t="shared" si="2"/>
        <v>#REF!</v>
      </c>
      <c r="H14" s="64" t="str">
        <f t="shared" si="3"/>
        <v>#REF!</v>
      </c>
    </row>
    <row r="15">
      <c r="B15" s="69"/>
      <c r="C15" s="1" t="s">
        <v>41</v>
      </c>
      <c r="D15" s="57" t="str">
        <f t="shared" si="1"/>
        <v/>
      </c>
      <c r="E15" s="57"/>
      <c r="F15" s="1" t="s">
        <v>48</v>
      </c>
      <c r="G15" s="49" t="str">
        <f t="shared" si="2"/>
        <v>#REF!</v>
      </c>
      <c r="H15" s="64" t="str">
        <f t="shared" si="3"/>
        <v>#REF!</v>
      </c>
    </row>
    <row r="16">
      <c r="B16" s="82" t="s">
        <v>60</v>
      </c>
      <c r="C16" s="84"/>
      <c r="D16" s="84"/>
      <c r="E16" s="84"/>
      <c r="F16" s="84"/>
      <c r="G16" s="84"/>
      <c r="H16" s="88" t="str">
        <f>SUM(H9:H15)</f>
        <v>#REF!</v>
      </c>
    </row>
  </sheetData>
  <mergeCells count="10">
    <mergeCell ref="G7:G8"/>
    <mergeCell ref="H7:H8"/>
    <mergeCell ref="E2:F2"/>
    <mergeCell ref="B3:D5"/>
    <mergeCell ref="E3:H5"/>
    <mergeCell ref="B7:B8"/>
    <mergeCell ref="C7:C8"/>
    <mergeCell ref="D7:E7"/>
    <mergeCell ref="F7:F8"/>
    <mergeCell ref="B16:G16"/>
  </mergeCells>
  <dataValidations>
    <dataValidation type="list" allowBlank="1" showErrorMessage="1" sqref="C9:C15">
      <formula1>'Biaya Talenta'!$C$4:$C$8</formula1>
    </dataValidation>
    <dataValidation type="list" allowBlank="1" showErrorMessage="1" sqref="F9:F15">
      <formula1>'Biaya Talenta'!$B$4:$B$8</formula1>
    </dataValidation>
  </dataValidations>
  <drawing r:id="rId1"/>
</worksheet>
</file>